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개인\office\excel\스벅\"/>
    </mc:Choice>
  </mc:AlternateContent>
  <xr:revisionPtr revIDLastSave="0" documentId="13_ncr:1_{472C3091-3F99-4C6E-9EB4-8FE714630974}" xr6:coauthVersionLast="47" xr6:coauthVersionMax="47" xr10:uidLastSave="{00000000-0000-0000-0000-000000000000}"/>
  <bookViews>
    <workbookView xWindow="18060" yWindow="0" windowWidth="17190" windowHeight="21000" tabRatio="829" xr2:uid="{267FCDE1-CED7-46C2-9334-6F10344B0091}"/>
  </bookViews>
  <sheets>
    <sheet name="INFO" sheetId="6" r:id="rId1"/>
    <sheet name="B_YEAR" sheetId="10" r:id="rId2"/>
    <sheet name="B_CALENDAR" sheetId="5" r:id="rId3"/>
    <sheet name="B_MEMBER" sheetId="7" r:id="rId4"/>
    <sheet name="B_HIERARCHY" sheetId="8" r:id="rId5"/>
    <sheet name="안기태" sheetId="21" r:id="rId6"/>
    <sheet name="안호재" sheetId="22" r:id="rId7"/>
    <sheet name="엄이삭" sheetId="23" r:id="rId8"/>
    <sheet name="빈준형" sheetId="24" r:id="rId9"/>
  </sheets>
  <functionGroups builtInGroupCount="19"/>
  <definedNames>
    <definedName name="년도">OFFSET(B_YEAR!$B$2,0,0,COUNTA(B_YEAR!$B$2:$B$30),1)</definedName>
    <definedName name="달력">B_CALENDAR!$B$5:$E$370</definedName>
    <definedName name="멤버">B_MEMBER!$A$2:$I$5</definedName>
    <definedName name="멤버이름">OFFSET(B_MEMBER!$B$2,0,0,COUNTA(B_MEMBER!$B:$B)-1,1)</definedName>
    <definedName name="상위계급명">OFFSET(B_HIERARCHY!$B$2,0,0,COUNTA(B_HIERARCHY!$B$2:$B$7),1)</definedName>
    <definedName name="전체계급명">OFFSET(B_HIERARCHY!$B$2,0,0,COUNTA(B_HIERARCHY!$B$2:$B$30),1)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2" i="10"/>
  <c r="A6" i="7"/>
  <c r="I6" i="7" s="1"/>
  <c r="A5" i="7"/>
  <c r="I5" i="7" s="1"/>
  <c r="A3" i="7"/>
  <c r="I3" i="7" s="1"/>
  <c r="A4" i="7"/>
  <c r="I4" i="7" s="1"/>
  <c r="E5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A3" i="8"/>
  <c r="E3" i="8" s="1"/>
  <c r="A4" i="8"/>
  <c r="E4" i="8" s="1"/>
  <c r="A5" i="8"/>
  <c r="A6" i="8"/>
  <c r="E6" i="8" s="1"/>
  <c r="A7" i="8"/>
  <c r="E7" i="8" s="1"/>
  <c r="A8" i="8"/>
  <c r="E8" i="8" s="1"/>
  <c r="A9" i="8"/>
  <c r="E9" i="8" s="1"/>
  <c r="A10" i="8"/>
  <c r="E10" i="8" s="1"/>
  <c r="A11" i="8"/>
  <c r="E11" i="8" s="1"/>
  <c r="A12" i="8"/>
  <c r="E12" i="8" s="1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2" i="8"/>
  <c r="E2" i="8" s="1"/>
  <c r="A7" i="7"/>
  <c r="I7" i="7" s="1"/>
  <c r="A8" i="7"/>
  <c r="I8" i="7" s="1"/>
  <c r="A9" i="7"/>
  <c r="I9" i="7" s="1"/>
  <c r="A10" i="7"/>
  <c r="I10" i="7" s="1"/>
  <c r="A11" i="7"/>
  <c r="I11" i="7" s="1"/>
  <c r="A12" i="7"/>
  <c r="I12" i="7" s="1"/>
  <c r="A13" i="7"/>
  <c r="I13" i="7" s="1"/>
  <c r="A14" i="7"/>
  <c r="I14" i="7" s="1"/>
  <c r="A15" i="7"/>
  <c r="I15" i="7" s="1"/>
  <c r="A16" i="7"/>
  <c r="I16" i="7" s="1"/>
  <c r="A17" i="7"/>
  <c r="I17" i="7" s="1"/>
  <c r="A18" i="7"/>
  <c r="I18" i="7" s="1"/>
  <c r="A19" i="7"/>
  <c r="I19" i="7" s="1"/>
  <c r="A20" i="7"/>
  <c r="I20" i="7" s="1"/>
  <c r="A21" i="7"/>
  <c r="I21" i="7" s="1"/>
  <c r="A22" i="7"/>
  <c r="I22" i="7" s="1"/>
  <c r="A23" i="7"/>
  <c r="I23" i="7" s="1"/>
  <c r="A24" i="7"/>
  <c r="I24" i="7" s="1"/>
  <c r="A25" i="7"/>
  <c r="I25" i="7" s="1"/>
  <c r="A26" i="7"/>
  <c r="I26" i="7" s="1"/>
  <c r="A27" i="7"/>
  <c r="I27" i="7" s="1"/>
  <c r="A28" i="7"/>
  <c r="I28" i="7" s="1"/>
  <c r="A29" i="7"/>
  <c r="I29" i="7" s="1"/>
  <c r="A30" i="7"/>
  <c r="I30" i="7" s="1"/>
  <c r="A2" i="7"/>
  <c r="I2" i="7" s="1"/>
  <c r="B2" i="5"/>
  <c r="A6" i="5" s="1"/>
  <c r="B6" i="5" s="1"/>
  <c r="D6" i="5" s="1"/>
  <c r="C6" i="5" l="1" a="1"/>
  <c r="C6" i="5" s="1"/>
  <c r="A162" i="5"/>
  <c r="B162" i="5" s="1"/>
  <c r="A280" i="5"/>
  <c r="B280" i="5" s="1"/>
  <c r="A210" i="5"/>
  <c r="B210" i="5" s="1"/>
  <c r="A244" i="5"/>
  <c r="B244" i="5" s="1"/>
  <c r="A98" i="5"/>
  <c r="B98" i="5" s="1"/>
  <c r="A163" i="5"/>
  <c r="B163" i="5" s="1"/>
  <c r="A84" i="5"/>
  <c r="B84" i="5" s="1"/>
  <c r="A355" i="5"/>
  <c r="B355" i="5" s="1"/>
  <c r="A354" i="5"/>
  <c r="B354" i="5" s="1"/>
  <c r="A321" i="5"/>
  <c r="B321" i="5" s="1"/>
  <c r="A314" i="5"/>
  <c r="B314" i="5" s="1"/>
  <c r="A278" i="5"/>
  <c r="B278" i="5" s="1"/>
  <c r="A243" i="5"/>
  <c r="B243" i="5" s="1"/>
  <c r="A209" i="5"/>
  <c r="B209" i="5" s="1"/>
  <c r="A82" i="5"/>
  <c r="B82" i="5" s="1"/>
  <c r="A68" i="5"/>
  <c r="B68" i="5" s="1"/>
  <c r="A276" i="5"/>
  <c r="B276" i="5" s="1"/>
  <c r="A154" i="5"/>
  <c r="B154" i="5" s="1"/>
  <c r="A342" i="5"/>
  <c r="B342" i="5" s="1"/>
  <c r="A307" i="5"/>
  <c r="B307" i="5" s="1"/>
  <c r="A273" i="5"/>
  <c r="B273" i="5" s="1"/>
  <c r="A232" i="5"/>
  <c r="B232" i="5" s="1"/>
  <c r="A195" i="5"/>
  <c r="B195" i="5" s="1"/>
  <c r="A147" i="5"/>
  <c r="B147" i="5" s="1"/>
  <c r="A67" i="5"/>
  <c r="B67" i="5" s="1"/>
  <c r="A353" i="5"/>
  <c r="B353" i="5" s="1"/>
  <c r="A275" i="5"/>
  <c r="B275" i="5" s="1"/>
  <c r="A308" i="5"/>
  <c r="B308" i="5" s="1"/>
  <c r="A340" i="5"/>
  <c r="B340" i="5" s="1"/>
  <c r="A306" i="5"/>
  <c r="B306" i="5" s="1"/>
  <c r="A266" i="5"/>
  <c r="B266" i="5" s="1"/>
  <c r="A230" i="5"/>
  <c r="B230" i="5" s="1"/>
  <c r="A194" i="5"/>
  <c r="B194" i="5" s="1"/>
  <c r="A146" i="5"/>
  <c r="B146" i="5" s="1"/>
  <c r="A66" i="5"/>
  <c r="B66" i="5" s="1"/>
  <c r="A346" i="5"/>
  <c r="B346" i="5" s="1"/>
  <c r="A196" i="5"/>
  <c r="B196" i="5" s="1"/>
  <c r="A339" i="5"/>
  <c r="B339" i="5" s="1"/>
  <c r="A305" i="5"/>
  <c r="B305" i="5" s="1"/>
  <c r="A264" i="5"/>
  <c r="B264" i="5" s="1"/>
  <c r="A228" i="5"/>
  <c r="B228" i="5" s="1"/>
  <c r="A193" i="5"/>
  <c r="B193" i="5" s="1"/>
  <c r="A145" i="5"/>
  <c r="B145" i="5" s="1"/>
  <c r="A52" i="5"/>
  <c r="B52" i="5" s="1"/>
  <c r="A242" i="5"/>
  <c r="B242" i="5" s="1"/>
  <c r="A310" i="5"/>
  <c r="B310" i="5" s="1"/>
  <c r="A274" i="5"/>
  <c r="B274" i="5" s="1"/>
  <c r="A338" i="5"/>
  <c r="B338" i="5" s="1"/>
  <c r="A298" i="5"/>
  <c r="B298" i="5" s="1"/>
  <c r="A262" i="5"/>
  <c r="B262" i="5" s="1"/>
  <c r="A227" i="5"/>
  <c r="B227" i="5" s="1"/>
  <c r="A186" i="5"/>
  <c r="B186" i="5" s="1"/>
  <c r="A132" i="5"/>
  <c r="B132" i="5" s="1"/>
  <c r="A51" i="5"/>
  <c r="B51" i="5" s="1"/>
  <c r="A202" i="5"/>
  <c r="B202" i="5" s="1"/>
  <c r="A344" i="5"/>
  <c r="B344" i="5" s="1"/>
  <c r="A337" i="5"/>
  <c r="B337" i="5" s="1"/>
  <c r="A296" i="5"/>
  <c r="B296" i="5" s="1"/>
  <c r="A260" i="5"/>
  <c r="B260" i="5" s="1"/>
  <c r="A226" i="5"/>
  <c r="B226" i="5" s="1"/>
  <c r="A182" i="5"/>
  <c r="B182" i="5" s="1"/>
  <c r="A131" i="5"/>
  <c r="B131" i="5" s="1"/>
  <c r="A50" i="5"/>
  <c r="B50" i="5" s="1"/>
  <c r="A198" i="5"/>
  <c r="B198" i="5" s="1"/>
  <c r="A370" i="5"/>
  <c r="B370" i="5" s="1"/>
  <c r="A330" i="5"/>
  <c r="B330" i="5" s="1"/>
  <c r="A294" i="5"/>
  <c r="B294" i="5" s="1"/>
  <c r="A259" i="5"/>
  <c r="B259" i="5" s="1"/>
  <c r="A225" i="5"/>
  <c r="B225" i="5" s="1"/>
  <c r="A180" i="5"/>
  <c r="B180" i="5" s="1"/>
  <c r="A130" i="5"/>
  <c r="B130" i="5" s="1"/>
  <c r="A36" i="5"/>
  <c r="B36" i="5" s="1"/>
  <c r="A161" i="5"/>
  <c r="B161" i="5" s="1"/>
  <c r="A369" i="5"/>
  <c r="B369" i="5" s="1"/>
  <c r="A328" i="5"/>
  <c r="B328" i="5" s="1"/>
  <c r="A292" i="5"/>
  <c r="B292" i="5" s="1"/>
  <c r="A258" i="5"/>
  <c r="B258" i="5" s="1"/>
  <c r="A218" i="5"/>
  <c r="B218" i="5" s="1"/>
  <c r="A179" i="5"/>
  <c r="B179" i="5" s="1"/>
  <c r="A116" i="5"/>
  <c r="B116" i="5" s="1"/>
  <c r="A35" i="5"/>
  <c r="B35" i="5" s="1"/>
  <c r="A312" i="5"/>
  <c r="B312" i="5" s="1"/>
  <c r="A234" i="5"/>
  <c r="B234" i="5" s="1"/>
  <c r="A362" i="5"/>
  <c r="B362" i="5" s="1"/>
  <c r="A326" i="5"/>
  <c r="B326" i="5" s="1"/>
  <c r="A291" i="5"/>
  <c r="B291" i="5" s="1"/>
  <c r="A257" i="5"/>
  <c r="B257" i="5" s="1"/>
  <c r="A216" i="5"/>
  <c r="B216" i="5" s="1"/>
  <c r="A178" i="5"/>
  <c r="B178" i="5" s="1"/>
  <c r="A115" i="5"/>
  <c r="B115" i="5" s="1"/>
  <c r="A34" i="5"/>
  <c r="B34" i="5" s="1"/>
  <c r="A5" i="5"/>
  <c r="B5" i="5" s="1"/>
  <c r="A360" i="5"/>
  <c r="B360" i="5" s="1"/>
  <c r="A324" i="5"/>
  <c r="B324" i="5" s="1"/>
  <c r="A290" i="5"/>
  <c r="B290" i="5" s="1"/>
  <c r="A250" i="5"/>
  <c r="B250" i="5" s="1"/>
  <c r="A214" i="5"/>
  <c r="B214" i="5" s="1"/>
  <c r="A177" i="5"/>
  <c r="B177" i="5" s="1"/>
  <c r="A114" i="5"/>
  <c r="B114" i="5" s="1"/>
  <c r="A20" i="5"/>
  <c r="B20" i="5" s="1"/>
  <c r="A83" i="5"/>
  <c r="B83" i="5" s="1"/>
  <c r="A148" i="5"/>
  <c r="B148" i="5" s="1"/>
  <c r="A358" i="5"/>
  <c r="B358" i="5" s="1"/>
  <c r="A323" i="5"/>
  <c r="B323" i="5" s="1"/>
  <c r="A289" i="5"/>
  <c r="B289" i="5" s="1"/>
  <c r="A248" i="5"/>
  <c r="B248" i="5" s="1"/>
  <c r="A212" i="5"/>
  <c r="B212" i="5" s="1"/>
  <c r="A170" i="5"/>
  <c r="B170" i="5" s="1"/>
  <c r="A100" i="5"/>
  <c r="B100" i="5" s="1"/>
  <c r="A19" i="5"/>
  <c r="B19" i="5" s="1"/>
  <c r="A241" i="5"/>
  <c r="B241" i="5" s="1"/>
  <c r="A356" i="5"/>
  <c r="B356" i="5" s="1"/>
  <c r="A322" i="5"/>
  <c r="B322" i="5" s="1"/>
  <c r="A282" i="5"/>
  <c r="B282" i="5" s="1"/>
  <c r="A246" i="5"/>
  <c r="B246" i="5" s="1"/>
  <c r="A211" i="5"/>
  <c r="B211" i="5" s="1"/>
  <c r="A164" i="5"/>
  <c r="B164" i="5" s="1"/>
  <c r="A99" i="5"/>
  <c r="B99" i="5" s="1"/>
  <c r="A18" i="5"/>
  <c r="B18" i="5" s="1"/>
  <c r="A357" i="5"/>
  <c r="B357" i="5" s="1"/>
  <c r="A341" i="5"/>
  <c r="B341" i="5" s="1"/>
  <c r="A325" i="5"/>
  <c r="B325" i="5" s="1"/>
  <c r="A309" i="5"/>
  <c r="B309" i="5" s="1"/>
  <c r="A293" i="5"/>
  <c r="B293" i="5" s="1"/>
  <c r="A277" i="5"/>
  <c r="B277" i="5" s="1"/>
  <c r="A261" i="5"/>
  <c r="B261" i="5" s="1"/>
  <c r="A245" i="5"/>
  <c r="B245" i="5" s="1"/>
  <c r="A229" i="5"/>
  <c r="B229" i="5" s="1"/>
  <c r="A213" i="5"/>
  <c r="B213" i="5" s="1"/>
  <c r="A197" i="5"/>
  <c r="B197" i="5" s="1"/>
  <c r="A181" i="5"/>
  <c r="B181" i="5" s="1"/>
  <c r="A165" i="5"/>
  <c r="B165" i="5" s="1"/>
  <c r="A149" i="5"/>
  <c r="B149" i="5" s="1"/>
  <c r="A133" i="5"/>
  <c r="B133" i="5" s="1"/>
  <c r="A117" i="5"/>
  <c r="B117" i="5" s="1"/>
  <c r="A101" i="5"/>
  <c r="B101" i="5" s="1"/>
  <c r="A85" i="5"/>
  <c r="B85" i="5" s="1"/>
  <c r="A69" i="5"/>
  <c r="B69" i="5" s="1"/>
  <c r="A53" i="5"/>
  <c r="B53" i="5" s="1"/>
  <c r="A37" i="5"/>
  <c r="B37" i="5" s="1"/>
  <c r="A21" i="5"/>
  <c r="B21" i="5" s="1"/>
  <c r="A129" i="5"/>
  <c r="B129" i="5" s="1"/>
  <c r="A113" i="5"/>
  <c r="B113" i="5" s="1"/>
  <c r="A97" i="5"/>
  <c r="B97" i="5" s="1"/>
  <c r="A81" i="5"/>
  <c r="B81" i="5" s="1"/>
  <c r="A65" i="5"/>
  <c r="B65" i="5" s="1"/>
  <c r="A49" i="5"/>
  <c r="B49" i="5" s="1"/>
  <c r="A33" i="5"/>
  <c r="B33" i="5" s="1"/>
  <c r="A17" i="5"/>
  <c r="B17" i="5" s="1"/>
  <c r="A368" i="5"/>
  <c r="B368" i="5" s="1"/>
  <c r="A352" i="5"/>
  <c r="B352" i="5" s="1"/>
  <c r="A336" i="5"/>
  <c r="B336" i="5" s="1"/>
  <c r="A320" i="5"/>
  <c r="B320" i="5" s="1"/>
  <c r="A304" i="5"/>
  <c r="B304" i="5" s="1"/>
  <c r="A288" i="5"/>
  <c r="B288" i="5" s="1"/>
  <c r="A272" i="5"/>
  <c r="B272" i="5" s="1"/>
  <c r="A256" i="5"/>
  <c r="B256" i="5" s="1"/>
  <c r="A240" i="5"/>
  <c r="B240" i="5" s="1"/>
  <c r="A224" i="5"/>
  <c r="B224" i="5" s="1"/>
  <c r="A208" i="5"/>
  <c r="B208" i="5" s="1"/>
  <c r="A192" i="5"/>
  <c r="B192" i="5" s="1"/>
  <c r="A176" i="5"/>
  <c r="B176" i="5" s="1"/>
  <c r="A160" i="5"/>
  <c r="B160" i="5" s="1"/>
  <c r="A144" i="5"/>
  <c r="B144" i="5" s="1"/>
  <c r="A128" i="5"/>
  <c r="B128" i="5" s="1"/>
  <c r="A112" i="5"/>
  <c r="B112" i="5" s="1"/>
  <c r="A96" i="5"/>
  <c r="B96" i="5" s="1"/>
  <c r="A80" i="5"/>
  <c r="B80" i="5" s="1"/>
  <c r="A64" i="5"/>
  <c r="B64" i="5" s="1"/>
  <c r="A48" i="5"/>
  <c r="B48" i="5" s="1"/>
  <c r="A32" i="5"/>
  <c r="B32" i="5" s="1"/>
  <c r="A16" i="5"/>
  <c r="B16" i="5" s="1"/>
  <c r="A271" i="5"/>
  <c r="B271" i="5" s="1"/>
  <c r="A143" i="5"/>
  <c r="B143" i="5" s="1"/>
  <c r="A15" i="5"/>
  <c r="B15" i="5" s="1"/>
  <c r="A367" i="5"/>
  <c r="B367" i="5" s="1"/>
  <c r="A287" i="5"/>
  <c r="B287" i="5" s="1"/>
  <c r="A191" i="5"/>
  <c r="B191" i="5" s="1"/>
  <c r="A31" i="5"/>
  <c r="B31" i="5" s="1"/>
  <c r="A366" i="5"/>
  <c r="B366" i="5" s="1"/>
  <c r="A350" i="5"/>
  <c r="B350" i="5" s="1"/>
  <c r="A334" i="5"/>
  <c r="B334" i="5" s="1"/>
  <c r="A318" i="5"/>
  <c r="B318" i="5" s="1"/>
  <c r="A302" i="5"/>
  <c r="B302" i="5" s="1"/>
  <c r="A286" i="5"/>
  <c r="B286" i="5" s="1"/>
  <c r="A270" i="5"/>
  <c r="B270" i="5" s="1"/>
  <c r="A254" i="5"/>
  <c r="B254" i="5" s="1"/>
  <c r="A238" i="5"/>
  <c r="B238" i="5" s="1"/>
  <c r="A222" i="5"/>
  <c r="B222" i="5" s="1"/>
  <c r="A206" i="5"/>
  <c r="B206" i="5" s="1"/>
  <c r="A190" i="5"/>
  <c r="B190" i="5" s="1"/>
  <c r="A174" i="5"/>
  <c r="B174" i="5" s="1"/>
  <c r="A158" i="5"/>
  <c r="B158" i="5" s="1"/>
  <c r="A142" i="5"/>
  <c r="B142" i="5" s="1"/>
  <c r="A126" i="5"/>
  <c r="B126" i="5" s="1"/>
  <c r="A110" i="5"/>
  <c r="B110" i="5" s="1"/>
  <c r="A94" i="5"/>
  <c r="B94" i="5" s="1"/>
  <c r="A78" i="5"/>
  <c r="B78" i="5" s="1"/>
  <c r="A62" i="5"/>
  <c r="B62" i="5" s="1"/>
  <c r="A46" i="5"/>
  <c r="B46" i="5" s="1"/>
  <c r="A30" i="5"/>
  <c r="B30" i="5" s="1"/>
  <c r="A14" i="5"/>
  <c r="B14" i="5" s="1"/>
  <c r="A319" i="5"/>
  <c r="B319" i="5" s="1"/>
  <c r="A223" i="5"/>
  <c r="B223" i="5" s="1"/>
  <c r="A159" i="5"/>
  <c r="B159" i="5" s="1"/>
  <c r="A95" i="5"/>
  <c r="B95" i="5" s="1"/>
  <c r="A47" i="5"/>
  <c r="B47" i="5" s="1"/>
  <c r="A365" i="5"/>
  <c r="B365" i="5" s="1"/>
  <c r="A349" i="5"/>
  <c r="B349" i="5" s="1"/>
  <c r="A333" i="5"/>
  <c r="B333" i="5" s="1"/>
  <c r="A317" i="5"/>
  <c r="B317" i="5" s="1"/>
  <c r="A301" i="5"/>
  <c r="B301" i="5" s="1"/>
  <c r="A285" i="5"/>
  <c r="B285" i="5" s="1"/>
  <c r="A269" i="5"/>
  <c r="B269" i="5" s="1"/>
  <c r="A253" i="5"/>
  <c r="B253" i="5" s="1"/>
  <c r="A237" i="5"/>
  <c r="B237" i="5" s="1"/>
  <c r="A221" i="5"/>
  <c r="B221" i="5" s="1"/>
  <c r="A205" i="5"/>
  <c r="B205" i="5" s="1"/>
  <c r="A189" i="5"/>
  <c r="B189" i="5" s="1"/>
  <c r="A173" i="5"/>
  <c r="B173" i="5" s="1"/>
  <c r="A157" i="5"/>
  <c r="B157" i="5" s="1"/>
  <c r="A141" i="5"/>
  <c r="B141" i="5" s="1"/>
  <c r="A125" i="5"/>
  <c r="B125" i="5" s="1"/>
  <c r="A109" i="5"/>
  <c r="B109" i="5" s="1"/>
  <c r="A93" i="5"/>
  <c r="B93" i="5" s="1"/>
  <c r="A77" i="5"/>
  <c r="B77" i="5" s="1"/>
  <c r="A61" i="5"/>
  <c r="B61" i="5" s="1"/>
  <c r="A45" i="5"/>
  <c r="B45" i="5" s="1"/>
  <c r="A29" i="5"/>
  <c r="B29" i="5" s="1"/>
  <c r="A13" i="5"/>
  <c r="B13" i="5" s="1"/>
  <c r="A351" i="5"/>
  <c r="B351" i="5" s="1"/>
  <c r="A303" i="5"/>
  <c r="B303" i="5" s="1"/>
  <c r="A239" i="5"/>
  <c r="B239" i="5" s="1"/>
  <c r="A175" i="5"/>
  <c r="B175" i="5" s="1"/>
  <c r="A111" i="5"/>
  <c r="B111" i="5" s="1"/>
  <c r="A63" i="5"/>
  <c r="B63" i="5" s="1"/>
  <c r="A364" i="5"/>
  <c r="B364" i="5" s="1"/>
  <c r="A348" i="5"/>
  <c r="B348" i="5" s="1"/>
  <c r="A332" i="5"/>
  <c r="B332" i="5" s="1"/>
  <c r="A316" i="5"/>
  <c r="B316" i="5" s="1"/>
  <c r="A300" i="5"/>
  <c r="B300" i="5" s="1"/>
  <c r="A284" i="5"/>
  <c r="B284" i="5" s="1"/>
  <c r="A268" i="5"/>
  <c r="B268" i="5" s="1"/>
  <c r="A252" i="5"/>
  <c r="B252" i="5" s="1"/>
  <c r="A236" i="5"/>
  <c r="B236" i="5" s="1"/>
  <c r="A220" i="5"/>
  <c r="B220" i="5" s="1"/>
  <c r="A204" i="5"/>
  <c r="B204" i="5" s="1"/>
  <c r="A188" i="5"/>
  <c r="B188" i="5" s="1"/>
  <c r="A172" i="5"/>
  <c r="B172" i="5" s="1"/>
  <c r="A156" i="5"/>
  <c r="B156" i="5" s="1"/>
  <c r="A140" i="5"/>
  <c r="B140" i="5" s="1"/>
  <c r="A124" i="5"/>
  <c r="B124" i="5" s="1"/>
  <c r="A108" i="5"/>
  <c r="B108" i="5" s="1"/>
  <c r="A92" i="5"/>
  <c r="B92" i="5" s="1"/>
  <c r="A76" i="5"/>
  <c r="B76" i="5" s="1"/>
  <c r="A60" i="5"/>
  <c r="B60" i="5" s="1"/>
  <c r="A44" i="5"/>
  <c r="B44" i="5" s="1"/>
  <c r="A28" i="5"/>
  <c r="B28" i="5" s="1"/>
  <c r="A12" i="5"/>
  <c r="B12" i="5" s="1"/>
  <c r="A335" i="5"/>
  <c r="B335" i="5" s="1"/>
  <c r="A255" i="5"/>
  <c r="B255" i="5" s="1"/>
  <c r="A207" i="5"/>
  <c r="B207" i="5" s="1"/>
  <c r="A127" i="5"/>
  <c r="B127" i="5" s="1"/>
  <c r="A79" i="5"/>
  <c r="B79" i="5" s="1"/>
  <c r="A363" i="5"/>
  <c r="B363" i="5" s="1"/>
  <c r="A347" i="5"/>
  <c r="B347" i="5" s="1"/>
  <c r="A331" i="5"/>
  <c r="B331" i="5" s="1"/>
  <c r="A315" i="5"/>
  <c r="B315" i="5" s="1"/>
  <c r="A299" i="5"/>
  <c r="B299" i="5" s="1"/>
  <c r="A283" i="5"/>
  <c r="B283" i="5" s="1"/>
  <c r="A267" i="5"/>
  <c r="B267" i="5" s="1"/>
  <c r="A251" i="5"/>
  <c r="B251" i="5" s="1"/>
  <c r="A235" i="5"/>
  <c r="B235" i="5" s="1"/>
  <c r="A219" i="5"/>
  <c r="B219" i="5" s="1"/>
  <c r="A203" i="5"/>
  <c r="B203" i="5" s="1"/>
  <c r="A187" i="5"/>
  <c r="B187" i="5" s="1"/>
  <c r="A171" i="5"/>
  <c r="B171" i="5" s="1"/>
  <c r="A155" i="5"/>
  <c r="B155" i="5" s="1"/>
  <c r="A139" i="5"/>
  <c r="B139" i="5" s="1"/>
  <c r="A123" i="5"/>
  <c r="B123" i="5" s="1"/>
  <c r="A107" i="5"/>
  <c r="B107" i="5" s="1"/>
  <c r="A91" i="5"/>
  <c r="B91" i="5" s="1"/>
  <c r="A75" i="5"/>
  <c r="B75" i="5" s="1"/>
  <c r="A59" i="5"/>
  <c r="B59" i="5" s="1"/>
  <c r="A43" i="5"/>
  <c r="B43" i="5" s="1"/>
  <c r="A27" i="5"/>
  <c r="B27" i="5" s="1"/>
  <c r="A11" i="5"/>
  <c r="B11" i="5" s="1"/>
  <c r="A138" i="5"/>
  <c r="B138" i="5" s="1"/>
  <c r="A122" i="5"/>
  <c r="B122" i="5" s="1"/>
  <c r="A106" i="5"/>
  <c r="B106" i="5" s="1"/>
  <c r="A90" i="5"/>
  <c r="B90" i="5" s="1"/>
  <c r="A74" i="5"/>
  <c r="B74" i="5" s="1"/>
  <c r="A58" i="5"/>
  <c r="B58" i="5" s="1"/>
  <c r="A42" i="5"/>
  <c r="B42" i="5" s="1"/>
  <c r="A26" i="5"/>
  <c r="B26" i="5" s="1"/>
  <c r="A10" i="5"/>
  <c r="B10" i="5" s="1"/>
  <c r="A361" i="5"/>
  <c r="B361" i="5" s="1"/>
  <c r="A345" i="5"/>
  <c r="B345" i="5" s="1"/>
  <c r="A329" i="5"/>
  <c r="B329" i="5" s="1"/>
  <c r="A313" i="5"/>
  <c r="B313" i="5" s="1"/>
  <c r="A297" i="5"/>
  <c r="B297" i="5" s="1"/>
  <c r="A281" i="5"/>
  <c r="B281" i="5" s="1"/>
  <c r="A265" i="5"/>
  <c r="B265" i="5" s="1"/>
  <c r="A249" i="5"/>
  <c r="B249" i="5" s="1"/>
  <c r="A233" i="5"/>
  <c r="B233" i="5" s="1"/>
  <c r="A217" i="5"/>
  <c r="B217" i="5" s="1"/>
  <c r="A201" i="5"/>
  <c r="B201" i="5" s="1"/>
  <c r="A185" i="5"/>
  <c r="B185" i="5" s="1"/>
  <c r="A169" i="5"/>
  <c r="B169" i="5" s="1"/>
  <c r="A153" i="5"/>
  <c r="B153" i="5" s="1"/>
  <c r="A137" i="5"/>
  <c r="B137" i="5" s="1"/>
  <c r="A121" i="5"/>
  <c r="B121" i="5" s="1"/>
  <c r="A105" i="5"/>
  <c r="B105" i="5" s="1"/>
  <c r="A89" i="5"/>
  <c r="B89" i="5" s="1"/>
  <c r="A73" i="5"/>
  <c r="B73" i="5" s="1"/>
  <c r="A57" i="5"/>
  <c r="B57" i="5" s="1"/>
  <c r="A41" i="5"/>
  <c r="B41" i="5" s="1"/>
  <c r="A25" i="5"/>
  <c r="B25" i="5" s="1"/>
  <c r="A9" i="5"/>
  <c r="B9" i="5" s="1"/>
  <c r="A200" i="5"/>
  <c r="B200" i="5" s="1"/>
  <c r="A184" i="5"/>
  <c r="B184" i="5" s="1"/>
  <c r="A168" i="5"/>
  <c r="B168" i="5" s="1"/>
  <c r="A152" i="5"/>
  <c r="B152" i="5" s="1"/>
  <c r="A136" i="5"/>
  <c r="B136" i="5" s="1"/>
  <c r="A120" i="5"/>
  <c r="B120" i="5" s="1"/>
  <c r="A104" i="5"/>
  <c r="B104" i="5" s="1"/>
  <c r="A88" i="5"/>
  <c r="B88" i="5" s="1"/>
  <c r="A72" i="5"/>
  <c r="B72" i="5" s="1"/>
  <c r="A56" i="5"/>
  <c r="B56" i="5" s="1"/>
  <c r="A40" i="5"/>
  <c r="B40" i="5" s="1"/>
  <c r="A24" i="5"/>
  <c r="B24" i="5" s="1"/>
  <c r="A8" i="5"/>
  <c r="B8" i="5" s="1"/>
  <c r="A359" i="5"/>
  <c r="B359" i="5" s="1"/>
  <c r="A343" i="5"/>
  <c r="B343" i="5" s="1"/>
  <c r="A327" i="5"/>
  <c r="B327" i="5" s="1"/>
  <c r="A311" i="5"/>
  <c r="B311" i="5" s="1"/>
  <c r="A295" i="5"/>
  <c r="B295" i="5" s="1"/>
  <c r="A279" i="5"/>
  <c r="B279" i="5" s="1"/>
  <c r="A263" i="5"/>
  <c r="B263" i="5" s="1"/>
  <c r="A247" i="5"/>
  <c r="B247" i="5" s="1"/>
  <c r="A231" i="5"/>
  <c r="B231" i="5" s="1"/>
  <c r="A215" i="5"/>
  <c r="B215" i="5" s="1"/>
  <c r="A199" i="5"/>
  <c r="B199" i="5" s="1"/>
  <c r="A183" i="5"/>
  <c r="B183" i="5" s="1"/>
  <c r="A167" i="5"/>
  <c r="B167" i="5" s="1"/>
  <c r="A151" i="5"/>
  <c r="B151" i="5" s="1"/>
  <c r="A135" i="5"/>
  <c r="B135" i="5" s="1"/>
  <c r="A119" i="5"/>
  <c r="B119" i="5" s="1"/>
  <c r="A103" i="5"/>
  <c r="B103" i="5" s="1"/>
  <c r="A87" i="5"/>
  <c r="B87" i="5" s="1"/>
  <c r="A71" i="5"/>
  <c r="B71" i="5" s="1"/>
  <c r="A55" i="5"/>
  <c r="B55" i="5" s="1"/>
  <c r="A39" i="5"/>
  <c r="B39" i="5" s="1"/>
  <c r="A23" i="5"/>
  <c r="B23" i="5" s="1"/>
  <c r="A7" i="5"/>
  <c r="B7" i="5" s="1"/>
  <c r="A166" i="5"/>
  <c r="B166" i="5" s="1"/>
  <c r="A150" i="5"/>
  <c r="B150" i="5" s="1"/>
  <c r="A134" i="5"/>
  <c r="B134" i="5" s="1"/>
  <c r="A118" i="5"/>
  <c r="B118" i="5" s="1"/>
  <c r="A102" i="5"/>
  <c r="B102" i="5" s="1"/>
  <c r="A86" i="5"/>
  <c r="B86" i="5" s="1"/>
  <c r="A70" i="5"/>
  <c r="B70" i="5" s="1"/>
  <c r="A54" i="5"/>
  <c r="B54" i="5" s="1"/>
  <c r="A38" i="5"/>
  <c r="B38" i="5" s="1"/>
  <c r="A22" i="5"/>
  <c r="B22" i="5" s="1"/>
  <c r="D201" i="5" l="1"/>
  <c r="C201" i="5" a="1"/>
  <c r="C201" i="5" s="1"/>
  <c r="C223" i="5" a="1"/>
  <c r="C223" i="5" s="1"/>
  <c r="D223" i="5"/>
  <c r="D246" i="5"/>
  <c r="C246" i="5" a="1"/>
  <c r="C246" i="5" s="1"/>
  <c r="D148" i="5"/>
  <c r="C148" i="5" a="1"/>
  <c r="C148" i="5" s="1"/>
  <c r="D291" i="5"/>
  <c r="C291" i="5" a="1"/>
  <c r="C291" i="5" s="1"/>
  <c r="C36" i="5" a="1"/>
  <c r="C36" i="5" s="1"/>
  <c r="D36" i="5"/>
  <c r="D193" i="5"/>
  <c r="C193" i="5" a="1"/>
  <c r="C193" i="5" s="1"/>
  <c r="D243" i="5"/>
  <c r="C243" i="5" a="1"/>
  <c r="C243" i="5" s="1"/>
  <c r="D55" i="5"/>
  <c r="C55" i="5" a="1"/>
  <c r="C55" i="5" s="1"/>
  <c r="D311" i="5"/>
  <c r="C311" i="5" a="1"/>
  <c r="C311" i="5" s="1"/>
  <c r="C168" i="5" a="1"/>
  <c r="C168" i="5" s="1"/>
  <c r="D168" i="5"/>
  <c r="D217" i="5"/>
  <c r="C217" i="5" a="1"/>
  <c r="C217" i="5" s="1"/>
  <c r="D74" i="5"/>
  <c r="C74" i="5" a="1"/>
  <c r="C74" i="5" s="1"/>
  <c r="D187" i="5"/>
  <c r="C187" i="5" a="1"/>
  <c r="C187" i="5" s="1"/>
  <c r="D207" i="5"/>
  <c r="C207" i="5" a="1"/>
  <c r="C207" i="5" s="1"/>
  <c r="D220" i="5"/>
  <c r="C220" i="5" a="1"/>
  <c r="C220" i="5" s="1"/>
  <c r="C303" i="5" a="1"/>
  <c r="C303" i="5" s="1"/>
  <c r="D303" i="5"/>
  <c r="D221" i="5"/>
  <c r="C221" i="5" a="1"/>
  <c r="C221" i="5" s="1"/>
  <c r="C319" i="5" a="1"/>
  <c r="C319" i="5" s="1"/>
  <c r="D319" i="5"/>
  <c r="D238" i="5"/>
  <c r="C238" i="5" a="1"/>
  <c r="C238" i="5" s="1"/>
  <c r="D143" i="5"/>
  <c r="C143" i="5" a="1"/>
  <c r="C143" i="5" s="1"/>
  <c r="D240" i="5"/>
  <c r="C240" i="5" a="1"/>
  <c r="C240" i="5" s="1"/>
  <c r="D97" i="5"/>
  <c r="C97" i="5" a="1"/>
  <c r="C97" i="5" s="1"/>
  <c r="C229" i="5" a="1"/>
  <c r="C229" i="5" s="1"/>
  <c r="D229" i="5"/>
  <c r="D282" i="5"/>
  <c r="C282" i="5" a="1"/>
  <c r="C282" i="5" s="1"/>
  <c r="D83" i="5"/>
  <c r="C83" i="5" a="1"/>
  <c r="C83" i="5" s="1"/>
  <c r="D326" i="5"/>
  <c r="C326" i="5" a="1"/>
  <c r="C326" i="5" s="1"/>
  <c r="D130" i="5"/>
  <c r="C130" i="5" a="1"/>
  <c r="C130" i="5" s="1"/>
  <c r="D344" i="5"/>
  <c r="C344" i="5" a="1"/>
  <c r="C344" i="5" s="1"/>
  <c r="D228" i="5"/>
  <c r="C228" i="5" a="1"/>
  <c r="C228" i="5" s="1"/>
  <c r="D308" i="5"/>
  <c r="C308" i="5" a="1"/>
  <c r="C308" i="5" s="1"/>
  <c r="D278" i="5"/>
  <c r="C278" i="5" a="1"/>
  <c r="C278" i="5" s="1"/>
  <c r="D295" i="5"/>
  <c r="C295" i="5" a="1"/>
  <c r="C295" i="5" s="1"/>
  <c r="C239" i="5" a="1"/>
  <c r="C239" i="5" s="1"/>
  <c r="D239" i="5"/>
  <c r="C184" i="5" a="1"/>
  <c r="C184" i="5" s="1"/>
  <c r="D184" i="5"/>
  <c r="C233" i="5" a="1"/>
  <c r="C233" i="5" s="1"/>
  <c r="D233" i="5"/>
  <c r="D90" i="5"/>
  <c r="C90" i="5" a="1"/>
  <c r="C90" i="5" s="1"/>
  <c r="D203" i="5"/>
  <c r="C203" i="5" a="1"/>
  <c r="C203" i="5" s="1"/>
  <c r="C255" i="5" a="1"/>
  <c r="C255" i="5" s="1"/>
  <c r="D255" i="5"/>
  <c r="D236" i="5"/>
  <c r="C236" i="5" a="1"/>
  <c r="C236" i="5" s="1"/>
  <c r="C351" i="5" a="1"/>
  <c r="C351" i="5" s="1"/>
  <c r="D351" i="5"/>
  <c r="D237" i="5"/>
  <c r="C237" i="5" a="1"/>
  <c r="C237" i="5" s="1"/>
  <c r="D254" i="5"/>
  <c r="C254" i="5" a="1"/>
  <c r="C254" i="5" s="1"/>
  <c r="C271" i="5" a="1"/>
  <c r="C271" i="5" s="1"/>
  <c r="D271" i="5"/>
  <c r="D256" i="5"/>
  <c r="C256" i="5" a="1"/>
  <c r="C256" i="5" s="1"/>
  <c r="D113" i="5"/>
  <c r="C113" i="5" a="1"/>
  <c r="C113" i="5" s="1"/>
  <c r="C245" i="5" a="1"/>
  <c r="C245" i="5" s="1"/>
  <c r="D245" i="5"/>
  <c r="D322" i="5"/>
  <c r="C322" i="5" a="1"/>
  <c r="C322" i="5" s="1"/>
  <c r="C20" i="5" a="1"/>
  <c r="C20" i="5" s="1"/>
  <c r="D20" i="5"/>
  <c r="D362" i="5"/>
  <c r="C362" i="5" a="1"/>
  <c r="C362" i="5" s="1"/>
  <c r="D180" i="5"/>
  <c r="C180" i="5" a="1"/>
  <c r="C180" i="5" s="1"/>
  <c r="D202" i="5"/>
  <c r="C202" i="5" a="1"/>
  <c r="C202" i="5" s="1"/>
  <c r="C264" i="5" a="1"/>
  <c r="C264" i="5" s="1"/>
  <c r="D264" i="5"/>
  <c r="D275" i="5"/>
  <c r="C275" i="5" a="1"/>
  <c r="C275" i="5" s="1"/>
  <c r="D314" i="5"/>
  <c r="C314" i="5" a="1"/>
  <c r="C314" i="5" s="1"/>
  <c r="D58" i="5"/>
  <c r="C58" i="5" a="1"/>
  <c r="C58" i="5" s="1"/>
  <c r="D222" i="5"/>
  <c r="C222" i="5" a="1"/>
  <c r="C222" i="5" s="1"/>
  <c r="D106" i="5"/>
  <c r="C106" i="5" a="1"/>
  <c r="C106" i="5" s="1"/>
  <c r="D219" i="5"/>
  <c r="C219" i="5" a="1"/>
  <c r="C219" i="5" s="1"/>
  <c r="C335" i="5" a="1"/>
  <c r="C335" i="5" s="1"/>
  <c r="D335" i="5"/>
  <c r="D252" i="5"/>
  <c r="C252" i="5" a="1"/>
  <c r="C252" i="5" s="1"/>
  <c r="D253" i="5"/>
  <c r="C253" i="5" a="1"/>
  <c r="C253" i="5" s="1"/>
  <c r="C14" i="5" a="1"/>
  <c r="C14" i="5" s="1"/>
  <c r="D14" i="5"/>
  <c r="D270" i="5"/>
  <c r="C270" i="5" a="1"/>
  <c r="C270" i="5" s="1"/>
  <c r="C16" i="5" a="1"/>
  <c r="C16" i="5" s="1"/>
  <c r="D16" i="5"/>
  <c r="D272" i="5"/>
  <c r="C272" i="5" a="1"/>
  <c r="C272" i="5" s="1"/>
  <c r="D129" i="5"/>
  <c r="C129" i="5" a="1"/>
  <c r="C129" i="5" s="1"/>
  <c r="C261" i="5" a="1"/>
  <c r="C261" i="5" s="1"/>
  <c r="D261" i="5"/>
  <c r="D356" i="5"/>
  <c r="C356" i="5" a="1"/>
  <c r="C356" i="5" s="1"/>
  <c r="D114" i="5"/>
  <c r="C114" i="5" a="1"/>
  <c r="C114" i="5" s="1"/>
  <c r="D234" i="5"/>
  <c r="C234" i="5" a="1"/>
  <c r="C234" i="5" s="1"/>
  <c r="D225" i="5"/>
  <c r="C225" i="5" a="1"/>
  <c r="C225" i="5" s="1"/>
  <c r="D51" i="5"/>
  <c r="C51" i="5" a="1"/>
  <c r="C51" i="5" s="1"/>
  <c r="D305" i="5"/>
  <c r="C305" i="5" a="1"/>
  <c r="C305" i="5" s="1"/>
  <c r="D353" i="5"/>
  <c r="C353" i="5" a="1"/>
  <c r="C353" i="5" s="1"/>
  <c r="D321" i="5"/>
  <c r="C321" i="5" a="1"/>
  <c r="C321" i="5" s="1"/>
  <c r="C127" i="5" a="1"/>
  <c r="C127" i="5" s="1"/>
  <c r="D127" i="5"/>
  <c r="C213" i="5" a="1"/>
  <c r="C213" i="5" s="1"/>
  <c r="D213" i="5"/>
  <c r="D343" i="5"/>
  <c r="C343" i="5" a="1"/>
  <c r="C343" i="5" s="1"/>
  <c r="D103" i="5"/>
  <c r="C103" i="5" a="1"/>
  <c r="C103" i="5" s="1"/>
  <c r="D265" i="5"/>
  <c r="C265" i="5" a="1"/>
  <c r="C265" i="5" s="1"/>
  <c r="C12" i="5" a="1"/>
  <c r="C12" i="5" s="1"/>
  <c r="D12" i="5"/>
  <c r="D269" i="5"/>
  <c r="C269" i="5" a="1"/>
  <c r="C269" i="5" s="1"/>
  <c r="D286" i="5"/>
  <c r="C286" i="5" a="1"/>
  <c r="C286" i="5" s="1"/>
  <c r="D288" i="5"/>
  <c r="C288" i="5" a="1"/>
  <c r="C288" i="5" s="1"/>
  <c r="C21" i="5" a="1"/>
  <c r="C21" i="5" s="1"/>
  <c r="D21" i="5"/>
  <c r="C277" i="5" a="1"/>
  <c r="C277" i="5" s="1"/>
  <c r="D277" i="5"/>
  <c r="D177" i="5"/>
  <c r="C177" i="5" a="1"/>
  <c r="C177" i="5" s="1"/>
  <c r="D259" i="5"/>
  <c r="C259" i="5" a="1"/>
  <c r="C259" i="5" s="1"/>
  <c r="D132" i="5"/>
  <c r="C132" i="5" a="1"/>
  <c r="C132" i="5" s="1"/>
  <c r="D339" i="5"/>
  <c r="C339" i="5" a="1"/>
  <c r="C339" i="5" s="1"/>
  <c r="D67" i="5"/>
  <c r="C67" i="5" a="1"/>
  <c r="C67" i="5" s="1"/>
  <c r="C354" i="5" a="1"/>
  <c r="C354" i="5" s="1"/>
  <c r="D354" i="5"/>
  <c r="D171" i="5"/>
  <c r="C171" i="5" a="1"/>
  <c r="C171" i="5" s="1"/>
  <c r="D81" i="5"/>
  <c r="C81" i="5" a="1"/>
  <c r="C81" i="5" s="1"/>
  <c r="D200" i="5"/>
  <c r="C200" i="5" a="1"/>
  <c r="C200" i="5" s="1"/>
  <c r="D359" i="5"/>
  <c r="C359" i="5" a="1"/>
  <c r="C359" i="5" s="1"/>
  <c r="D122" i="5"/>
  <c r="C122" i="5" a="1"/>
  <c r="C122" i="5" s="1"/>
  <c r="D268" i="5"/>
  <c r="C268" i="5" a="1"/>
  <c r="C268" i="5" s="1"/>
  <c r="C30" i="5" a="1"/>
  <c r="C30" i="5" s="1"/>
  <c r="D30" i="5"/>
  <c r="D38" i="5"/>
  <c r="C38" i="5" a="1"/>
  <c r="C38" i="5" s="1"/>
  <c r="C25" i="5" a="1"/>
  <c r="C25" i="5" s="1"/>
  <c r="D25" i="5"/>
  <c r="C281" i="5" a="1"/>
  <c r="C281" i="5" s="1"/>
  <c r="D281" i="5"/>
  <c r="D138" i="5"/>
  <c r="C138" i="5" a="1"/>
  <c r="C138" i="5" s="1"/>
  <c r="D251" i="5"/>
  <c r="C251" i="5" a="1"/>
  <c r="C251" i="5" s="1"/>
  <c r="C28" i="5" a="1"/>
  <c r="C28" i="5" s="1"/>
  <c r="D28" i="5"/>
  <c r="D284" i="5"/>
  <c r="C284" i="5" a="1"/>
  <c r="C284" i="5" s="1"/>
  <c r="C29" i="5" a="1"/>
  <c r="C29" i="5" s="1"/>
  <c r="D29" i="5"/>
  <c r="D285" i="5"/>
  <c r="C285" i="5" a="1"/>
  <c r="C285" i="5" s="1"/>
  <c r="D46" i="5"/>
  <c r="C46" i="5" a="1"/>
  <c r="C46" i="5" s="1"/>
  <c r="D302" i="5"/>
  <c r="C302" i="5" a="1"/>
  <c r="C302" i="5" s="1"/>
  <c r="D48" i="5"/>
  <c r="C48" i="5" a="1"/>
  <c r="C48" i="5" s="1"/>
  <c r="D304" i="5"/>
  <c r="C304" i="5" a="1"/>
  <c r="C304" i="5" s="1"/>
  <c r="C37" i="5" a="1"/>
  <c r="C37" i="5" s="1"/>
  <c r="D37" i="5"/>
  <c r="C293" i="5" a="1"/>
  <c r="C293" i="5" s="1"/>
  <c r="D293" i="5"/>
  <c r="D214" i="5"/>
  <c r="C214" i="5" a="1"/>
  <c r="C214" i="5" s="1"/>
  <c r="D312" i="5"/>
  <c r="C312" i="5" a="1"/>
  <c r="C312" i="5" s="1"/>
  <c r="D294" i="5"/>
  <c r="C294" i="5" a="1"/>
  <c r="C294" i="5" s="1"/>
  <c r="D186" i="5"/>
  <c r="C186" i="5" a="1"/>
  <c r="C186" i="5" s="1"/>
  <c r="D147" i="5"/>
  <c r="C147" i="5" a="1"/>
  <c r="C147" i="5" s="1"/>
  <c r="D355" i="5"/>
  <c r="C355" i="5" a="1"/>
  <c r="C355" i="5" s="1"/>
  <c r="D152" i="5"/>
  <c r="C152" i="5" a="1"/>
  <c r="C152" i="5" s="1"/>
  <c r="D224" i="5"/>
  <c r="C224" i="5" a="1"/>
  <c r="C224" i="5" s="1"/>
  <c r="D87" i="5"/>
  <c r="C87" i="5" a="1"/>
  <c r="C87" i="5" s="1"/>
  <c r="D22" i="5"/>
  <c r="C22" i="5" a="1"/>
  <c r="C22" i="5" s="1"/>
  <c r="D9" i="5"/>
  <c r="C9" i="5" a="1"/>
  <c r="C9" i="5" s="1"/>
  <c r="D235" i="5"/>
  <c r="C235" i="5" a="1"/>
  <c r="C235" i="5" s="1"/>
  <c r="D13" i="5"/>
  <c r="C13" i="5" a="1"/>
  <c r="C13" i="5" s="1"/>
  <c r="D32" i="5"/>
  <c r="C32" i="5" a="1"/>
  <c r="C32" i="5" s="1"/>
  <c r="D119" i="5"/>
  <c r="C119" i="5" a="1"/>
  <c r="C119" i="5" s="1"/>
  <c r="D54" i="5"/>
  <c r="C54" i="5" a="1"/>
  <c r="C54" i="5" s="1"/>
  <c r="D135" i="5"/>
  <c r="C135" i="5" a="1"/>
  <c r="C135" i="5" s="1"/>
  <c r="D41" i="5"/>
  <c r="C41" i="5" a="1"/>
  <c r="C41" i="5" s="1"/>
  <c r="D297" i="5"/>
  <c r="C297" i="5" a="1"/>
  <c r="C297" i="5" s="1"/>
  <c r="C11" i="5" a="1"/>
  <c r="C11" i="5" s="1"/>
  <c r="D11" i="5"/>
  <c r="D267" i="5"/>
  <c r="C267" i="5" a="1"/>
  <c r="C267" i="5" s="1"/>
  <c r="D44" i="5"/>
  <c r="C44" i="5" a="1"/>
  <c r="C44" i="5" s="1"/>
  <c r="D300" i="5"/>
  <c r="C300" i="5" a="1"/>
  <c r="C300" i="5" s="1"/>
  <c r="D45" i="5"/>
  <c r="C45" i="5" a="1"/>
  <c r="C45" i="5" s="1"/>
  <c r="D301" i="5"/>
  <c r="C301" i="5" a="1"/>
  <c r="C301" i="5" s="1"/>
  <c r="D62" i="5"/>
  <c r="C62" i="5" a="1"/>
  <c r="C62" i="5" s="1"/>
  <c r="D318" i="5"/>
  <c r="C318" i="5" a="1"/>
  <c r="C318" i="5" s="1"/>
  <c r="D64" i="5"/>
  <c r="C64" i="5" a="1"/>
  <c r="C64" i="5" s="1"/>
  <c r="D320" i="5"/>
  <c r="C320" i="5" a="1"/>
  <c r="C320" i="5" s="1"/>
  <c r="C53" i="5" a="1"/>
  <c r="C53" i="5" s="1"/>
  <c r="D53" i="5"/>
  <c r="C309" i="5" a="1"/>
  <c r="C309" i="5" s="1"/>
  <c r="D309" i="5"/>
  <c r="D241" i="5"/>
  <c r="C241" i="5" a="1"/>
  <c r="C241" i="5" s="1"/>
  <c r="D250" i="5"/>
  <c r="C250" i="5" a="1"/>
  <c r="C250" i="5" s="1"/>
  <c r="C35" i="5" a="1"/>
  <c r="C35" i="5" s="1"/>
  <c r="D35" i="5"/>
  <c r="D330" i="5"/>
  <c r="C330" i="5" a="1"/>
  <c r="C330" i="5" s="1"/>
  <c r="D227" i="5"/>
  <c r="C227" i="5" a="1"/>
  <c r="C227" i="5" s="1"/>
  <c r="D196" i="5"/>
  <c r="C196" i="5" a="1"/>
  <c r="C196" i="5" s="1"/>
  <c r="D195" i="5"/>
  <c r="C195" i="5" a="1"/>
  <c r="C195" i="5" s="1"/>
  <c r="D39" i="5"/>
  <c r="C39" i="5" a="1"/>
  <c r="C39" i="5" s="1"/>
  <c r="D205" i="5"/>
  <c r="C205" i="5" a="1"/>
  <c r="C205" i="5" s="1"/>
  <c r="D327" i="5"/>
  <c r="C327" i="5" a="1"/>
  <c r="C327" i="5" s="1"/>
  <c r="D151" i="5"/>
  <c r="C151" i="5" a="1"/>
  <c r="C151" i="5" s="1"/>
  <c r="D8" i="5"/>
  <c r="C8" i="5" a="1"/>
  <c r="C8" i="5" s="1"/>
  <c r="C57" i="5" a="1"/>
  <c r="C57" i="5" s="1"/>
  <c r="D57" i="5"/>
  <c r="D313" i="5"/>
  <c r="C313" i="5" a="1"/>
  <c r="C313" i="5" s="1"/>
  <c r="D27" i="5"/>
  <c r="C27" i="5" a="1"/>
  <c r="C27" i="5" s="1"/>
  <c r="D283" i="5"/>
  <c r="C283" i="5" a="1"/>
  <c r="C283" i="5" s="1"/>
  <c r="D60" i="5"/>
  <c r="C60" i="5" a="1"/>
  <c r="C60" i="5" s="1"/>
  <c r="D316" i="5"/>
  <c r="C316" i="5" a="1"/>
  <c r="C316" i="5" s="1"/>
  <c r="D61" i="5"/>
  <c r="C61" i="5" a="1"/>
  <c r="C61" i="5" s="1"/>
  <c r="D317" i="5"/>
  <c r="C317" i="5" a="1"/>
  <c r="C317" i="5" s="1"/>
  <c r="D78" i="5"/>
  <c r="C78" i="5" a="1"/>
  <c r="C78" i="5" s="1"/>
  <c r="D334" i="5"/>
  <c r="C334" i="5" a="1"/>
  <c r="C334" i="5" s="1"/>
  <c r="D80" i="5"/>
  <c r="C80" i="5" a="1"/>
  <c r="C80" i="5" s="1"/>
  <c r="D336" i="5"/>
  <c r="C336" i="5" a="1"/>
  <c r="C336" i="5" s="1"/>
  <c r="C69" i="5" a="1"/>
  <c r="C69" i="5" s="1"/>
  <c r="D69" i="5"/>
  <c r="C325" i="5" a="1"/>
  <c r="C325" i="5" s="1"/>
  <c r="D325" i="5"/>
  <c r="C19" i="5" a="1"/>
  <c r="C19" i="5" s="1"/>
  <c r="D19" i="5"/>
  <c r="D290" i="5"/>
  <c r="C290" i="5" a="1"/>
  <c r="C290" i="5" s="1"/>
  <c r="D116" i="5"/>
  <c r="C116" i="5" a="1"/>
  <c r="C116" i="5" s="1"/>
  <c r="D370" i="5"/>
  <c r="C370" i="5" a="1"/>
  <c r="C370" i="5" s="1"/>
  <c r="D262" i="5"/>
  <c r="C262" i="5" a="1"/>
  <c r="C262" i="5" s="1"/>
  <c r="D346" i="5"/>
  <c r="C346" i="5" a="1"/>
  <c r="C346" i="5" s="1"/>
  <c r="D232" i="5"/>
  <c r="C232" i="5" a="1"/>
  <c r="C232" i="5" s="1"/>
  <c r="D361" i="5"/>
  <c r="C361" i="5" a="1"/>
  <c r="C361" i="5" s="1"/>
  <c r="D204" i="5"/>
  <c r="C204" i="5" a="1"/>
  <c r="C204" i="5" s="1"/>
  <c r="D71" i="5"/>
  <c r="C71" i="5" a="1"/>
  <c r="C71" i="5" s="1"/>
  <c r="D70" i="5"/>
  <c r="C70" i="5" a="1"/>
  <c r="C70" i="5" s="1"/>
  <c r="D167" i="5"/>
  <c r="C167" i="5" a="1"/>
  <c r="C167" i="5" s="1"/>
  <c r="C73" i="5" a="1"/>
  <c r="C73" i="5" s="1"/>
  <c r="D73" i="5"/>
  <c r="D43" i="5"/>
  <c r="C43" i="5" a="1"/>
  <c r="C43" i="5" s="1"/>
  <c r="D76" i="5"/>
  <c r="C76" i="5" a="1"/>
  <c r="C76" i="5" s="1"/>
  <c r="D77" i="5"/>
  <c r="C77" i="5" a="1"/>
  <c r="C77" i="5" s="1"/>
  <c r="D94" i="5"/>
  <c r="C94" i="5" a="1"/>
  <c r="C94" i="5" s="1"/>
  <c r="D96" i="5"/>
  <c r="C96" i="5" a="1"/>
  <c r="C96" i="5" s="1"/>
  <c r="C85" i="5" a="1"/>
  <c r="C85" i="5" s="1"/>
  <c r="D85" i="5"/>
  <c r="C341" i="5" a="1"/>
  <c r="C341" i="5" s="1"/>
  <c r="D341" i="5"/>
  <c r="D324" i="5"/>
  <c r="C324" i="5" a="1"/>
  <c r="C324" i="5" s="1"/>
  <c r="D179" i="5"/>
  <c r="C179" i="5" a="1"/>
  <c r="C179" i="5" s="1"/>
  <c r="D198" i="5"/>
  <c r="C198" i="5" a="1"/>
  <c r="C198" i="5" s="1"/>
  <c r="D298" i="5"/>
  <c r="C298" i="5" a="1"/>
  <c r="C298" i="5" s="1"/>
  <c r="D273" i="5"/>
  <c r="C273" i="5" a="1"/>
  <c r="C273" i="5" s="1"/>
  <c r="D84" i="5"/>
  <c r="C84" i="5" a="1"/>
  <c r="C84" i="5" s="1"/>
  <c r="C105" i="5" a="1"/>
  <c r="C105" i="5" s="1"/>
  <c r="D105" i="5"/>
  <c r="C15" i="5" a="1"/>
  <c r="C15" i="5" s="1"/>
  <c r="D15" i="5"/>
  <c r="C249" i="5" a="1"/>
  <c r="C249" i="5" s="1"/>
  <c r="D249" i="5"/>
  <c r="D86" i="5"/>
  <c r="C86" i="5" a="1"/>
  <c r="C86" i="5" s="1"/>
  <c r="C24" i="5" a="1"/>
  <c r="C24" i="5" s="1"/>
  <c r="D24" i="5"/>
  <c r="C329" i="5" a="1"/>
  <c r="C329" i="5" s="1"/>
  <c r="D329" i="5"/>
  <c r="D299" i="5"/>
  <c r="C299" i="5" a="1"/>
  <c r="C299" i="5" s="1"/>
  <c r="D332" i="5"/>
  <c r="C332" i="5" a="1"/>
  <c r="C332" i="5" s="1"/>
  <c r="D333" i="5"/>
  <c r="C333" i="5" a="1"/>
  <c r="C333" i="5" s="1"/>
  <c r="D350" i="5"/>
  <c r="C350" i="5" a="1"/>
  <c r="C350" i="5" s="1"/>
  <c r="D352" i="5"/>
  <c r="C352" i="5" a="1"/>
  <c r="C352" i="5" s="1"/>
  <c r="D100" i="5"/>
  <c r="C100" i="5" a="1"/>
  <c r="C100" i="5" s="1"/>
  <c r="D102" i="5"/>
  <c r="C102" i="5" a="1"/>
  <c r="C102" i="5" s="1"/>
  <c r="D183" i="5"/>
  <c r="C183" i="5" a="1"/>
  <c r="C183" i="5" s="1"/>
  <c r="D40" i="5"/>
  <c r="C40" i="5" a="1"/>
  <c r="C40" i="5" s="1"/>
  <c r="C89" i="5" a="1"/>
  <c r="C89" i="5" s="1"/>
  <c r="D89" i="5"/>
  <c r="C345" i="5" a="1"/>
  <c r="C345" i="5" s="1"/>
  <c r="D345" i="5"/>
  <c r="D59" i="5"/>
  <c r="C59" i="5" a="1"/>
  <c r="C59" i="5" s="1"/>
  <c r="D315" i="5"/>
  <c r="C315" i="5" a="1"/>
  <c r="C315" i="5" s="1"/>
  <c r="D92" i="5"/>
  <c r="C92" i="5" a="1"/>
  <c r="C92" i="5" s="1"/>
  <c r="D348" i="5"/>
  <c r="C348" i="5" a="1"/>
  <c r="C348" i="5" s="1"/>
  <c r="D93" i="5"/>
  <c r="C93" i="5" a="1"/>
  <c r="C93" i="5" s="1"/>
  <c r="D349" i="5"/>
  <c r="C349" i="5" a="1"/>
  <c r="C349" i="5" s="1"/>
  <c r="D110" i="5"/>
  <c r="C110" i="5" a="1"/>
  <c r="C110" i="5" s="1"/>
  <c r="D366" i="5"/>
  <c r="C366" i="5" a="1"/>
  <c r="C366" i="5" s="1"/>
  <c r="D112" i="5"/>
  <c r="C112" i="5" a="1"/>
  <c r="C112" i="5" s="1"/>
  <c r="D368" i="5"/>
  <c r="C368" i="5" a="1"/>
  <c r="C368" i="5" s="1"/>
  <c r="C101" i="5" a="1"/>
  <c r="C101" i="5" s="1"/>
  <c r="D101" i="5"/>
  <c r="C357" i="5" a="1"/>
  <c r="C357" i="5" s="1"/>
  <c r="D357" i="5"/>
  <c r="D170" i="5"/>
  <c r="C170" i="5" a="1"/>
  <c r="C170" i="5" s="1"/>
  <c r="D360" i="5"/>
  <c r="C360" i="5" a="1"/>
  <c r="C360" i="5" s="1"/>
  <c r="D218" i="5"/>
  <c r="C218" i="5" a="1"/>
  <c r="C218" i="5" s="1"/>
  <c r="D50" i="5"/>
  <c r="C50" i="5" a="1"/>
  <c r="C50" i="5" s="1"/>
  <c r="D338" i="5"/>
  <c r="C338" i="5" a="1"/>
  <c r="C338" i="5" s="1"/>
  <c r="D66" i="5"/>
  <c r="C66" i="5" a="1"/>
  <c r="C66" i="5" s="1"/>
  <c r="D307" i="5"/>
  <c r="C307" i="5" a="1"/>
  <c r="C307" i="5" s="1"/>
  <c r="D163" i="5"/>
  <c r="C163" i="5" a="1"/>
  <c r="C163" i="5" s="1"/>
  <c r="D75" i="5"/>
  <c r="C75" i="5" a="1"/>
  <c r="C75" i="5" s="1"/>
  <c r="D331" i="5"/>
  <c r="C331" i="5" a="1"/>
  <c r="C331" i="5" s="1"/>
  <c r="D108" i="5"/>
  <c r="C108" i="5" a="1"/>
  <c r="C108" i="5" s="1"/>
  <c r="D364" i="5"/>
  <c r="C364" i="5" a="1"/>
  <c r="C364" i="5" s="1"/>
  <c r="D109" i="5"/>
  <c r="C109" i="5" a="1"/>
  <c r="C109" i="5" s="1"/>
  <c r="D365" i="5"/>
  <c r="C365" i="5" a="1"/>
  <c r="C365" i="5" s="1"/>
  <c r="D126" i="5"/>
  <c r="C126" i="5" a="1"/>
  <c r="C126" i="5" s="1"/>
  <c r="D128" i="5"/>
  <c r="C128" i="5" a="1"/>
  <c r="C128" i="5" s="1"/>
  <c r="C117" i="5" a="1"/>
  <c r="C117" i="5" s="1"/>
  <c r="D117" i="5"/>
  <c r="D212" i="5"/>
  <c r="C212" i="5" a="1"/>
  <c r="C212" i="5" s="1"/>
  <c r="D5" i="5"/>
  <c r="C5" i="5" a="1"/>
  <c r="C5" i="5" s="1"/>
  <c r="C258" i="5" a="1"/>
  <c r="C258" i="5" s="1"/>
  <c r="D258" i="5"/>
  <c r="D131" i="5"/>
  <c r="C131" i="5" a="1"/>
  <c r="C131" i="5" s="1"/>
  <c r="C146" i="5" a="1"/>
  <c r="C146" i="5" s="1"/>
  <c r="D146" i="5"/>
  <c r="D342" i="5"/>
  <c r="C342" i="5" a="1"/>
  <c r="C342" i="5" s="1"/>
  <c r="C98" i="5" a="1"/>
  <c r="C98" i="5" s="1"/>
  <c r="D98" i="5"/>
  <c r="D125" i="5"/>
  <c r="C125" i="5" a="1"/>
  <c r="C125" i="5" s="1"/>
  <c r="D142" i="5"/>
  <c r="C142" i="5" a="1"/>
  <c r="C142" i="5" s="1"/>
  <c r="D144" i="5"/>
  <c r="C144" i="5" a="1"/>
  <c r="C144" i="5" s="1"/>
  <c r="C133" i="5" a="1"/>
  <c r="C133" i="5" s="1"/>
  <c r="D133" i="5"/>
  <c r="C248" i="5" a="1"/>
  <c r="C248" i="5" s="1"/>
  <c r="D248" i="5"/>
  <c r="C34" i="5" a="1"/>
  <c r="C34" i="5" s="1"/>
  <c r="D34" i="5"/>
  <c r="D292" i="5"/>
  <c r="C292" i="5" a="1"/>
  <c r="C292" i="5" s="1"/>
  <c r="D182" i="5"/>
  <c r="C182" i="5" a="1"/>
  <c r="C182" i="5" s="1"/>
  <c r="D274" i="5"/>
  <c r="C274" i="5" a="1"/>
  <c r="C274" i="5" s="1"/>
  <c r="D194" i="5"/>
  <c r="C194" i="5" a="1"/>
  <c r="C194" i="5" s="1"/>
  <c r="D154" i="5"/>
  <c r="C154" i="5" a="1"/>
  <c r="C154" i="5" s="1"/>
  <c r="D244" i="5"/>
  <c r="C244" i="5" a="1"/>
  <c r="C244" i="5" s="1"/>
  <c r="D199" i="5"/>
  <c r="C199" i="5" a="1"/>
  <c r="C199" i="5" s="1"/>
  <c r="D215" i="5"/>
  <c r="C215" i="5" a="1"/>
  <c r="C215" i="5" s="1"/>
  <c r="D91" i="5"/>
  <c r="C91" i="5" a="1"/>
  <c r="C91" i="5" s="1"/>
  <c r="D363" i="5"/>
  <c r="C363" i="5" a="1"/>
  <c r="C363" i="5" s="1"/>
  <c r="D141" i="5"/>
  <c r="C141" i="5" a="1"/>
  <c r="C141" i="5" s="1"/>
  <c r="D158" i="5"/>
  <c r="C158" i="5" a="1"/>
  <c r="C158" i="5" s="1"/>
  <c r="C31" i="5" a="1"/>
  <c r="C31" i="5" s="1"/>
  <c r="D31" i="5"/>
  <c r="D160" i="5"/>
  <c r="C160" i="5" a="1"/>
  <c r="C160" i="5" s="1"/>
  <c r="C17" i="5" a="1"/>
  <c r="C17" i="5" s="1"/>
  <c r="D17" i="5"/>
  <c r="C149" i="5" a="1"/>
  <c r="C149" i="5" s="1"/>
  <c r="D149" i="5"/>
  <c r="C18" i="5" a="1"/>
  <c r="C18" i="5" s="1"/>
  <c r="D18" i="5"/>
  <c r="D289" i="5"/>
  <c r="C289" i="5" a="1"/>
  <c r="C289" i="5" s="1"/>
  <c r="D115" i="5"/>
  <c r="C115" i="5" a="1"/>
  <c r="C115" i="5" s="1"/>
  <c r="C328" i="5" a="1"/>
  <c r="C328" i="5" s="1"/>
  <c r="D328" i="5"/>
  <c r="D226" i="5"/>
  <c r="C226" i="5" a="1"/>
  <c r="C226" i="5" s="1"/>
  <c r="D310" i="5"/>
  <c r="C310" i="5" a="1"/>
  <c r="C310" i="5" s="1"/>
  <c r="D230" i="5"/>
  <c r="C230" i="5" a="1"/>
  <c r="C230" i="5" s="1"/>
  <c r="D276" i="5"/>
  <c r="C276" i="5" a="1"/>
  <c r="C276" i="5" s="1"/>
  <c r="C210" i="5" a="1"/>
  <c r="C210" i="5" s="1"/>
  <c r="D210" i="5"/>
  <c r="D134" i="5"/>
  <c r="C134" i="5" a="1"/>
  <c r="C134" i="5" s="1"/>
  <c r="C121" i="5" a="1"/>
  <c r="C121" i="5" s="1"/>
  <c r="D121" i="5"/>
  <c r="D124" i="5"/>
  <c r="C124" i="5" a="1"/>
  <c r="C124" i="5" s="1"/>
  <c r="D231" i="5"/>
  <c r="C231" i="5" a="1"/>
  <c r="C231" i="5" s="1"/>
  <c r="D88" i="5"/>
  <c r="C88" i="5" a="1"/>
  <c r="C88" i="5" s="1"/>
  <c r="D107" i="5"/>
  <c r="C107" i="5" a="1"/>
  <c r="C107" i="5" s="1"/>
  <c r="D140" i="5"/>
  <c r="C140" i="5" a="1"/>
  <c r="C140" i="5" s="1"/>
  <c r="D166" i="5"/>
  <c r="C166" i="5" a="1"/>
  <c r="C166" i="5" s="1"/>
  <c r="C104" i="5" a="1"/>
  <c r="C104" i="5" s="1"/>
  <c r="D104" i="5"/>
  <c r="C10" i="5" a="1"/>
  <c r="C10" i="5" s="1"/>
  <c r="D10" i="5"/>
  <c r="D123" i="5"/>
  <c r="C123" i="5" a="1"/>
  <c r="C123" i="5" s="1"/>
  <c r="D156" i="5"/>
  <c r="C156" i="5" a="1"/>
  <c r="C156" i="5" s="1"/>
  <c r="D157" i="5"/>
  <c r="C157" i="5" a="1"/>
  <c r="C157" i="5" s="1"/>
  <c r="D174" i="5"/>
  <c r="C174" i="5" a="1"/>
  <c r="C174" i="5" s="1"/>
  <c r="C191" i="5" a="1"/>
  <c r="C191" i="5" s="1"/>
  <c r="D191" i="5"/>
  <c r="D176" i="5"/>
  <c r="C176" i="5" a="1"/>
  <c r="C176" i="5" s="1"/>
  <c r="C33" i="5" a="1"/>
  <c r="C33" i="5" s="1"/>
  <c r="D33" i="5"/>
  <c r="C165" i="5" a="1"/>
  <c r="C165" i="5" s="1"/>
  <c r="D165" i="5"/>
  <c r="D99" i="5"/>
  <c r="C99" i="5" a="1"/>
  <c r="C99" i="5" s="1"/>
  <c r="D323" i="5"/>
  <c r="C323" i="5" a="1"/>
  <c r="C323" i="5" s="1"/>
  <c r="D178" i="5"/>
  <c r="C178" i="5" a="1"/>
  <c r="C178" i="5" s="1"/>
  <c r="D369" i="5"/>
  <c r="C369" i="5" a="1"/>
  <c r="C369" i="5" s="1"/>
  <c r="D260" i="5"/>
  <c r="C260" i="5" a="1"/>
  <c r="C260" i="5" s="1"/>
  <c r="D242" i="5"/>
  <c r="C242" i="5" a="1"/>
  <c r="C242" i="5" s="1"/>
  <c r="D266" i="5"/>
  <c r="C266" i="5" a="1"/>
  <c r="C266" i="5" s="1"/>
  <c r="D68" i="5"/>
  <c r="C68" i="5" a="1"/>
  <c r="C68" i="5" s="1"/>
  <c r="D280" i="5"/>
  <c r="C280" i="5" a="1"/>
  <c r="C280" i="5" s="1"/>
  <c r="C56" i="5" a="1"/>
  <c r="C56" i="5" s="1"/>
  <c r="D56" i="5"/>
  <c r="D72" i="5"/>
  <c r="C72" i="5" a="1"/>
  <c r="C72" i="5" s="1"/>
  <c r="D347" i="5"/>
  <c r="C347" i="5" a="1"/>
  <c r="C347" i="5" s="1"/>
  <c r="D150" i="5"/>
  <c r="C150" i="5" a="1"/>
  <c r="C150" i="5" s="1"/>
  <c r="C137" i="5" a="1"/>
  <c r="C137" i="5" s="1"/>
  <c r="D137" i="5"/>
  <c r="D247" i="5"/>
  <c r="C247" i="5" a="1"/>
  <c r="C247" i="5" s="1"/>
  <c r="D153" i="5"/>
  <c r="C153" i="5" a="1"/>
  <c r="C153" i="5" s="1"/>
  <c r="C63" i="5" a="1"/>
  <c r="C63" i="5" s="1"/>
  <c r="D63" i="5"/>
  <c r="D47" i="5"/>
  <c r="C47" i="5" a="1"/>
  <c r="C47" i="5" s="1"/>
  <c r="D7" i="5"/>
  <c r="C7" i="5" a="1"/>
  <c r="C7" i="5" s="1"/>
  <c r="D263" i="5"/>
  <c r="C263" i="5" a="1"/>
  <c r="C263" i="5" s="1"/>
  <c r="D120" i="5"/>
  <c r="C120" i="5" a="1"/>
  <c r="C120" i="5" s="1"/>
  <c r="C169" i="5" a="1"/>
  <c r="C169" i="5" s="1"/>
  <c r="D169" i="5"/>
  <c r="C26" i="5" a="1"/>
  <c r="C26" i="5" s="1"/>
  <c r="D26" i="5"/>
  <c r="D139" i="5"/>
  <c r="C139" i="5" a="1"/>
  <c r="C139" i="5" s="1"/>
  <c r="D172" i="5"/>
  <c r="C172" i="5" a="1"/>
  <c r="C172" i="5" s="1"/>
  <c r="C111" i="5" a="1"/>
  <c r="C111" i="5" s="1"/>
  <c r="D111" i="5"/>
  <c r="D173" i="5"/>
  <c r="C173" i="5" a="1"/>
  <c r="C173" i="5" s="1"/>
  <c r="C95" i="5" a="1"/>
  <c r="C95" i="5" s="1"/>
  <c r="D95" i="5"/>
  <c r="D190" i="5"/>
  <c r="C190" i="5" a="1"/>
  <c r="C190" i="5" s="1"/>
  <c r="D287" i="5"/>
  <c r="C287" i="5" a="1"/>
  <c r="C287" i="5" s="1"/>
  <c r="D192" i="5"/>
  <c r="C192" i="5" a="1"/>
  <c r="C192" i="5" s="1"/>
  <c r="D49" i="5"/>
  <c r="C49" i="5" a="1"/>
  <c r="C49" i="5" s="1"/>
  <c r="C181" i="5" a="1"/>
  <c r="C181" i="5" s="1"/>
  <c r="D181" i="5"/>
  <c r="D164" i="5"/>
  <c r="C164" i="5" a="1"/>
  <c r="C164" i="5" s="1"/>
  <c r="D358" i="5"/>
  <c r="C358" i="5" a="1"/>
  <c r="C358" i="5" s="1"/>
  <c r="D216" i="5"/>
  <c r="C216" i="5" a="1"/>
  <c r="C216" i="5" s="1"/>
  <c r="D296" i="5"/>
  <c r="C296" i="5" a="1"/>
  <c r="C296" i="5" s="1"/>
  <c r="D52" i="5"/>
  <c r="C52" i="5" a="1"/>
  <c r="C52" i="5" s="1"/>
  <c r="C306" i="5" a="1"/>
  <c r="C306" i="5" s="1"/>
  <c r="D306" i="5"/>
  <c r="D82" i="5"/>
  <c r="C82" i="5" a="1"/>
  <c r="C82" i="5" s="1"/>
  <c r="D162" i="5"/>
  <c r="C162" i="5" a="1"/>
  <c r="C162" i="5" s="1"/>
  <c r="D118" i="5"/>
  <c r="C118" i="5" a="1"/>
  <c r="C118" i="5" s="1"/>
  <c r="D23" i="5"/>
  <c r="C23" i="5" a="1"/>
  <c r="C23" i="5" s="1"/>
  <c r="D279" i="5"/>
  <c r="C279" i="5" a="1"/>
  <c r="C279" i="5" s="1"/>
  <c r="C136" i="5" a="1"/>
  <c r="C136" i="5" s="1"/>
  <c r="D136" i="5"/>
  <c r="C185" i="5" a="1"/>
  <c r="C185" i="5" s="1"/>
  <c r="D185" i="5"/>
  <c r="D42" i="5"/>
  <c r="C42" i="5" a="1"/>
  <c r="C42" i="5" s="1"/>
  <c r="D155" i="5"/>
  <c r="C155" i="5" a="1"/>
  <c r="C155" i="5" s="1"/>
  <c r="C79" i="5" a="1"/>
  <c r="C79" i="5" s="1"/>
  <c r="D79" i="5"/>
  <c r="D188" i="5"/>
  <c r="C188" i="5" a="1"/>
  <c r="C188" i="5" s="1"/>
  <c r="C175" i="5" a="1"/>
  <c r="C175" i="5" s="1"/>
  <c r="D175" i="5"/>
  <c r="D189" i="5"/>
  <c r="C189" i="5" a="1"/>
  <c r="C189" i="5" s="1"/>
  <c r="C159" i="5" a="1"/>
  <c r="C159" i="5" s="1"/>
  <c r="D159" i="5"/>
  <c r="D206" i="5"/>
  <c r="C206" i="5" a="1"/>
  <c r="C206" i="5" s="1"/>
  <c r="D367" i="5"/>
  <c r="C367" i="5" a="1"/>
  <c r="C367" i="5" s="1"/>
  <c r="D208" i="5"/>
  <c r="C208" i="5" a="1"/>
  <c r="C208" i="5" s="1"/>
  <c r="D65" i="5"/>
  <c r="C65" i="5" a="1"/>
  <c r="C65" i="5" s="1"/>
  <c r="C197" i="5" a="1"/>
  <c r="C197" i="5" s="1"/>
  <c r="D197" i="5"/>
  <c r="D211" i="5"/>
  <c r="C211" i="5" a="1"/>
  <c r="C211" i="5" s="1"/>
  <c r="D257" i="5"/>
  <c r="C257" i="5" a="1"/>
  <c r="C257" i="5" s="1"/>
  <c r="D161" i="5"/>
  <c r="C161" i="5" a="1"/>
  <c r="C161" i="5" s="1"/>
  <c r="D337" i="5"/>
  <c r="C337" i="5" a="1"/>
  <c r="C337" i="5" s="1"/>
  <c r="D145" i="5"/>
  <c r="C145" i="5" a="1"/>
  <c r="C145" i="5" s="1"/>
  <c r="D340" i="5"/>
  <c r="C340" i="5" a="1"/>
  <c r="C340" i="5" s="1"/>
  <c r="D209" i="5"/>
  <c r="C209" i="5" a="1"/>
  <c r="C20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<sst xmlns="http://schemas.openxmlformats.org/spreadsheetml/2006/main" count="1554" uniqueCount="83">
  <si>
    <t>설정연도</t>
    <phoneticPr fontId="1" type="noConversion"/>
  </si>
  <si>
    <t>스벅_계획표 파일 사용법</t>
    <phoneticPr fontId="1" type="noConversion"/>
  </si>
  <si>
    <t>날짜</t>
    <phoneticPr fontId="1" type="noConversion"/>
  </si>
  <si>
    <t>요일</t>
    <phoneticPr fontId="1" type="noConversion"/>
  </si>
  <si>
    <t>휴일</t>
    <phoneticPr fontId="1" type="noConversion"/>
  </si>
  <si>
    <t>기타</t>
    <phoneticPr fontId="1" type="noConversion"/>
  </si>
  <si>
    <t>번호</t>
    <phoneticPr fontId="1" type="noConversion"/>
  </si>
  <si>
    <t>총 일수</t>
    <phoneticPr fontId="1" type="noConversion"/>
  </si>
  <si>
    <t/>
  </si>
  <si>
    <t>ID</t>
    <phoneticPr fontId="1" type="noConversion"/>
  </si>
  <si>
    <t>이름</t>
    <phoneticPr fontId="1" type="noConversion"/>
  </si>
  <si>
    <t>별명</t>
    <phoneticPr fontId="1" type="noConversion"/>
  </si>
  <si>
    <t>생년월일</t>
    <phoneticPr fontId="1" type="noConversion"/>
  </si>
  <si>
    <t>연락처</t>
    <phoneticPr fontId="1" type="noConversion"/>
  </si>
  <si>
    <t>안기태</t>
    <phoneticPr fontId="1" type="noConversion"/>
  </si>
  <si>
    <t>안기안</t>
    <phoneticPr fontId="1" type="noConversion"/>
  </si>
  <si>
    <t>계급</t>
    <phoneticPr fontId="1" type="noConversion"/>
  </si>
  <si>
    <t>지배자</t>
  </si>
  <si>
    <t>지배자</t>
    <phoneticPr fontId="1" type="noConversion"/>
  </si>
  <si>
    <t>안호재</t>
    <phoneticPr fontId="1" type="noConversion"/>
  </si>
  <si>
    <t>엄이삭</t>
    <phoneticPr fontId="1" type="noConversion"/>
  </si>
  <si>
    <t>빈준형</t>
    <phoneticPr fontId="1" type="noConversion"/>
  </si>
  <si>
    <t>계필득</t>
    <phoneticPr fontId="1" type="noConversion"/>
  </si>
  <si>
    <t>계급명</t>
    <phoneticPr fontId="1" type="noConversion"/>
  </si>
  <si>
    <t>상위계급</t>
    <phoneticPr fontId="1" type="noConversion"/>
  </si>
  <si>
    <t>특성</t>
    <phoneticPr fontId="1" type="noConversion"/>
  </si>
  <si>
    <t>MODIFY_DATE</t>
    <phoneticPr fontId="1" type="noConversion"/>
  </si>
  <si>
    <t>010-8793-6088</t>
    <phoneticPr fontId="1" type="noConversion"/>
  </si>
  <si>
    <t>일반인</t>
  </si>
  <si>
    <t>일반인</t>
    <phoneticPr fontId="1" type="noConversion"/>
  </si>
  <si>
    <t>기술자</t>
  </si>
  <si>
    <t>기술자</t>
    <phoneticPr fontId="1" type="noConversion"/>
  </si>
  <si>
    <t>재롱이</t>
  </si>
  <si>
    <t>재롱이</t>
    <phoneticPr fontId="1" type="noConversion"/>
  </si>
  <si>
    <t>아무도 못 말림.</t>
    <phoneticPr fontId="1" type="noConversion"/>
  </si>
  <si>
    <t>성직자</t>
    <phoneticPr fontId="1" type="noConversion"/>
  </si>
  <si>
    <t>게이머</t>
  </si>
  <si>
    <t>게이머</t>
    <phoneticPr fontId="1" type="noConversion"/>
  </si>
  <si>
    <t>게임을 지배함.</t>
    <phoneticPr fontId="1" type="noConversion"/>
  </si>
  <si>
    <t>새로 오신 분.</t>
    <phoneticPr fontId="1" type="noConversion"/>
  </si>
  <si>
    <t>신통한 기술 보유</t>
    <phoneticPr fontId="1" type="noConversion"/>
  </si>
  <si>
    <t>예술가</t>
  </si>
  <si>
    <t>예술가</t>
    <phoneticPr fontId="1" type="noConversion"/>
  </si>
  <si>
    <t>견제자</t>
  </si>
  <si>
    <t>견제자</t>
    <phoneticPr fontId="1" type="noConversion"/>
  </si>
  <si>
    <t>약탈자</t>
    <phoneticPr fontId="1" type="noConversion"/>
  </si>
  <si>
    <t>영롱한 예술 보유</t>
    <phoneticPr fontId="1" type="noConversion"/>
  </si>
  <si>
    <t>지배자 카운터</t>
    <phoneticPr fontId="1" type="noConversion"/>
  </si>
  <si>
    <t>거룩한 능력 보유</t>
    <phoneticPr fontId="1" type="noConversion"/>
  </si>
  <si>
    <t>사람의 마음을 녹임</t>
    <phoneticPr fontId="1" type="noConversion"/>
  </si>
  <si>
    <t>반란자</t>
    <phoneticPr fontId="1" type="noConversion"/>
  </si>
  <si>
    <t>010-68631761</t>
    <phoneticPr fontId="1" type="noConversion"/>
  </si>
  <si>
    <t>단축키</t>
    <phoneticPr fontId="1" type="noConversion"/>
  </si>
  <si>
    <t>개정일</t>
    <phoneticPr fontId="1" type="noConversion"/>
  </si>
  <si>
    <t>수정사항</t>
    <phoneticPr fontId="1" type="noConversion"/>
  </si>
  <si>
    <t>상세설명</t>
    <phoneticPr fontId="1" type="noConversion"/>
  </si>
  <si>
    <t>초안작성</t>
    <phoneticPr fontId="1" type="noConversion"/>
  </si>
  <si>
    <t xml:space="preserve">이름 : </t>
  </si>
  <si>
    <t>YEAR</t>
    <phoneticPr fontId="1" type="noConversion"/>
  </si>
  <si>
    <t>엄이삭</t>
  </si>
  <si>
    <t>안호재</t>
  </si>
  <si>
    <t>토</t>
  </si>
  <si>
    <t>일</t>
  </si>
  <si>
    <t>월</t>
  </si>
  <si>
    <t>화</t>
  </si>
  <si>
    <t>수</t>
  </si>
  <si>
    <t>목</t>
  </si>
  <si>
    <t>금</t>
  </si>
  <si>
    <t>빈준형</t>
  </si>
  <si>
    <t>주간목표</t>
  </si>
  <si>
    <t>진행률</t>
  </si>
  <si>
    <t>색상</t>
    <phoneticPr fontId="1" type="noConversion"/>
  </si>
  <si>
    <t>빨강</t>
    <phoneticPr fontId="1" type="noConversion"/>
  </si>
  <si>
    <t>주황</t>
    <phoneticPr fontId="1" type="noConversion"/>
  </si>
  <si>
    <t>Ctrl + Shift + A</t>
    <phoneticPr fontId="1" type="noConversion"/>
  </si>
  <si>
    <t>설정 연도의 계획 포맷 세팅</t>
    <phoneticPr fontId="1" type="noConversion"/>
  </si>
  <si>
    <t>안기태</t>
  </si>
  <si>
    <t>EMAIL</t>
    <phoneticPr fontId="1" type="noConversion"/>
  </si>
  <si>
    <t>초록</t>
    <phoneticPr fontId="1" type="noConversion"/>
  </si>
  <si>
    <t>하늘</t>
    <phoneticPr fontId="1" type="noConversion"/>
  </si>
  <si>
    <t>umisak11@gmail.com</t>
    <phoneticPr fontId="1" type="noConversion"/>
  </si>
  <si>
    <t>gtan9328@gmail.com</t>
    <phoneticPr fontId="1" type="noConversion"/>
  </si>
  <si>
    <t>beenjh6088@gmail.com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</si>
</sst>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General&quot;년&quot;"/>
    <numFmt numFmtId="177" formatCode="General&quot;일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511703848384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3" fillId="3" borderId="1" xfId="0" applyFont="1" applyFill="1" applyBorder="1" applyAlignment="1">
      <alignment horizontal="centerContinuous" vertical="center"/>
    </xf>
    <xf numFmtId="0" fontId="0" fillId="3" borderId="4" xfId="0" applyFill="1" applyBorder="1" applyAlignment="1">
      <alignment horizontal="centerContinuous" vertical="center"/>
    </xf>
    <xf numFmtId="0" fontId="0" fillId="3" borderId="2" xfId="0" applyFill="1" applyBorder="1" applyAlignment="1">
      <alignment horizontal="centerContinuous" vertical="center"/>
    </xf>
    <xf numFmtId="0" fontId="0" fillId="3" borderId="9" xfId="0" applyFill="1" applyBorder="1">
      <alignment vertical="center"/>
    </xf>
    <xf numFmtId="0" fontId="0" fillId="3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9" fontId="0" fillId="3" borderId="9" xfId="1" applyFont="1" applyFill="1" applyBorder="1">
      <alignment vertical="center"/>
    </xf>
    <xf numFmtId="9" fontId="0" fillId="3" borderId="0" xfId="1" applyFont="1" applyFill="1" applyBorder="1">
      <alignment vertical="center"/>
    </xf>
    <xf numFmtId="9" fontId="0" fillId="0" borderId="3" xfId="1" applyFont="1" applyBorder="1">
      <alignment vertical="center"/>
    </xf>
    <xf numFmtId="9" fontId="0" fillId="0" borderId="0" xfId="1" applyFont="1">
      <alignment vertical="center"/>
    </xf>
    <xf numFmtId="0" fontId="0" fillId="3" borderId="14" xfId="0" applyFill="1" applyBorder="1">
      <alignment vertical="center"/>
    </xf>
    <xf numFmtId="0" fontId="2" fillId="4" borderId="15" xfId="0" applyFont="1" applyFill="1" applyBorder="1" applyAlignment="1">
      <alignment horizontal="center" vertical="center"/>
    </xf>
    <xf numFmtId="14" fontId="2" fillId="4" borderId="15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2" fillId="2" borderId="3" xfId="0" applyFont="1" applyFill="1" applyBorder="1" applyAlignment="1" applyProtection="1">
      <alignment horizontal="center" vertical="center"/>
    </xf>
    <xf numFmtId="177" fontId="0" fillId="0" borderId="3" xfId="0" applyNumberFormat="1" applyBorder="1" applyProtection="1">
      <alignment vertical="center"/>
    </xf>
    <xf numFmtId="0" fontId="0" fillId="0" borderId="0" xfId="0" quotePrefix="1" applyProtection="1">
      <alignment vertical="center"/>
    </xf>
    <xf numFmtId="0" fontId="2" fillId="2" borderId="12" xfId="0" applyFont="1" applyFill="1" applyBorder="1" applyAlignment="1" applyProtection="1">
      <alignment horizontal="center" vertical="center"/>
    </xf>
    <xf numFmtId="14" fontId="0" fillId="0" borderId="0" xfId="0" applyNumberFormat="1" applyProtection="1">
      <alignment vertical="center"/>
    </xf>
    <xf numFmtId="0" fontId="0" fillId="0" borderId="11" xfId="0" applyBorder="1" applyProtection="1">
      <alignment vertical="center"/>
    </xf>
    <xf numFmtId="176" fontId="0" fillId="0" borderId="3" xfId="0" applyNumberFormat="1" applyBorder="1" applyAlignment="1" applyProtection="1">
      <alignment horizontal="right" vertical="center"/>
      <protection locked="0"/>
    </xf>
    <xf numFmtId="14" fontId="2" fillId="2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alignment vertical="center"/>
      <protection locked="0"/>
    </xf>
    <xf numFmtId="14" fontId="2" fillId="2" borderId="3" xfId="0" applyNumberFormat="1" applyFont="1" applyFill="1" applyBorder="1" applyAlignment="1" applyProtection="1">
      <alignment horizontal="center" vertical="center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9" fontId="2" fillId="4" borderId="13" xfId="1" applyFont="1" applyFill="1" applyBorder="1" applyAlignment="1">
      <alignment horizontal="center" vertical="center"/>
    </xf>
    <xf numFmtId="9" fontId="2" fillId="4" borderId="9" xfId="1" applyFont="1" applyFill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1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0" tint="-4.9989318521683403E-2"/>
      </font>
      <fill>
        <patternFill>
          <bgColor rgb="FF0070C0"/>
        </patternFill>
      </fill>
    </dxf>
    <dxf>
      <font>
        <color theme="0" tint="-4.9989318521683403E-2"/>
      </font>
      <fill>
        <patternFill>
          <bgColor rgb="FF002060"/>
        </patternFill>
      </fill>
    </dxf>
    <dxf>
      <font>
        <color theme="0" tint="-4.9989318521683403E-2"/>
      </font>
      <fill>
        <patternFill>
          <bgColor rgb="FF7030A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8283-A761-48E7-B26E-238C33708048}">
  <sheetPr codeName="Sheet6"/>
  <dimension ref="A1:N16"/>
  <sheetViews>
    <sheetView showGridLines="0" tabSelected="1" zoomScaleNormal="100" workbookViewId="0">
      <selection activeCell="F28" sqref="F28"/>
    </sheetView>
  </sheetViews>
  <sheetFormatPr defaultRowHeight="16.5" x14ac:dyDescent="0.3"/>
  <cols>
    <col min="1" max="1" width="9" customWidth="1"/>
  </cols>
  <sheetData>
    <row r="1" spans="1:14" ht="34.5" thickBot="1" x14ac:dyDescent="0.35">
      <c r="A1" s="1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4" spans="1:14" x14ac:dyDescent="0.3">
      <c r="A4" s="32" t="s">
        <v>53</v>
      </c>
      <c r="B4" s="33"/>
      <c r="C4" s="33"/>
      <c r="D4" s="34"/>
      <c r="E4" s="32" t="s">
        <v>54</v>
      </c>
      <c r="F4" s="33"/>
      <c r="G4" s="33"/>
      <c r="H4" s="33"/>
      <c r="I4" s="33"/>
      <c r="J4" s="33"/>
      <c r="K4" s="33"/>
      <c r="L4" s="33"/>
      <c r="M4" s="33"/>
      <c r="N4" s="34"/>
    </row>
    <row r="5" spans="1:14" x14ac:dyDescent="0.3">
      <c r="A5" s="38">
        <v>44394</v>
      </c>
      <c r="B5" s="36"/>
      <c r="C5" s="36"/>
      <c r="D5" s="37"/>
      <c r="E5" s="35" t="s">
        <v>56</v>
      </c>
      <c r="F5" s="36"/>
      <c r="G5" s="36"/>
      <c r="H5" s="36"/>
      <c r="I5" s="36"/>
      <c r="J5" s="36"/>
      <c r="K5" s="36"/>
      <c r="L5" s="36"/>
      <c r="M5" s="36"/>
      <c r="N5" s="37"/>
    </row>
    <row r="6" spans="1:14" x14ac:dyDescent="0.3">
      <c r="A6" s="35"/>
      <c r="B6" s="36"/>
      <c r="C6" s="36"/>
      <c r="D6" s="37"/>
      <c r="E6" s="35"/>
      <c r="F6" s="36"/>
      <c r="G6" s="36"/>
      <c r="H6" s="36"/>
      <c r="I6" s="36"/>
      <c r="J6" s="36"/>
      <c r="K6" s="36"/>
      <c r="L6" s="36"/>
      <c r="M6" s="36"/>
      <c r="N6" s="37"/>
    </row>
    <row r="7" spans="1:14" x14ac:dyDescent="0.3">
      <c r="A7" s="35"/>
      <c r="B7" s="36"/>
      <c r="C7" s="36"/>
      <c r="D7" s="37"/>
      <c r="E7" s="35"/>
      <c r="F7" s="36"/>
      <c r="G7" s="36"/>
      <c r="H7" s="36"/>
      <c r="I7" s="36"/>
      <c r="J7" s="36"/>
      <c r="K7" s="36"/>
      <c r="L7" s="36"/>
      <c r="M7" s="36"/>
      <c r="N7" s="37"/>
    </row>
    <row r="8" spans="1:14" x14ac:dyDescent="0.3">
      <c r="A8" s="35"/>
      <c r="B8" s="36"/>
      <c r="C8" s="36"/>
      <c r="D8" s="37"/>
      <c r="E8" s="35"/>
      <c r="F8" s="36"/>
      <c r="G8" s="36"/>
      <c r="H8" s="36"/>
      <c r="I8" s="36"/>
      <c r="J8" s="36"/>
      <c r="K8" s="36"/>
      <c r="L8" s="36"/>
      <c r="M8" s="36"/>
      <c r="N8" s="37"/>
    </row>
    <row r="11" spans="1:14" x14ac:dyDescent="0.3">
      <c r="A11" s="32" t="s">
        <v>52</v>
      </c>
      <c r="B11" s="33"/>
      <c r="C11" s="33"/>
      <c r="D11" s="34"/>
      <c r="E11" s="32" t="s">
        <v>55</v>
      </c>
      <c r="F11" s="33"/>
      <c r="G11" s="33"/>
      <c r="H11" s="33"/>
      <c r="I11" s="33"/>
      <c r="J11" s="33"/>
      <c r="K11" s="33"/>
      <c r="L11" s="33"/>
      <c r="M11" s="33"/>
      <c r="N11" s="34"/>
    </row>
    <row r="12" spans="1:14" x14ac:dyDescent="0.3">
      <c r="A12" s="35" t="s">
        <v>74</v>
      </c>
      <c r="B12" s="36"/>
      <c r="C12" s="36"/>
      <c r="D12" s="37"/>
      <c r="E12" s="35" t="s">
        <v>75</v>
      </c>
      <c r="F12" s="36"/>
      <c r="G12" s="36"/>
      <c r="H12" s="36"/>
      <c r="I12" s="36"/>
      <c r="J12" s="36"/>
      <c r="K12" s="36"/>
      <c r="L12" s="36"/>
      <c r="M12" s="36"/>
      <c r="N12" s="37"/>
    </row>
    <row r="13" spans="1:14" x14ac:dyDescent="0.3">
      <c r="A13" s="35"/>
      <c r="B13" s="36"/>
      <c r="C13" s="36"/>
      <c r="D13" s="37"/>
      <c r="E13" s="35"/>
      <c r="F13" s="36"/>
      <c r="G13" s="36"/>
      <c r="H13" s="36"/>
      <c r="I13" s="36"/>
      <c r="J13" s="36"/>
      <c r="K13" s="36"/>
      <c r="L13" s="36"/>
      <c r="M13" s="36"/>
      <c r="N13" s="37"/>
    </row>
    <row r="14" spans="1:14" x14ac:dyDescent="0.3">
      <c r="A14" s="35"/>
      <c r="B14" s="36"/>
      <c r="C14" s="36"/>
      <c r="D14" s="37"/>
      <c r="E14" s="35"/>
      <c r="F14" s="36"/>
      <c r="G14" s="36"/>
      <c r="H14" s="36"/>
      <c r="I14" s="36"/>
      <c r="J14" s="36"/>
      <c r="K14" s="36"/>
      <c r="L14" s="36"/>
      <c r="M14" s="36"/>
      <c r="N14" s="37"/>
    </row>
    <row r="15" spans="1:14" x14ac:dyDescent="0.3">
      <c r="A15" s="35"/>
      <c r="B15" s="36"/>
      <c r="C15" s="36"/>
      <c r="D15" s="37"/>
      <c r="E15" s="35"/>
      <c r="F15" s="36"/>
      <c r="G15" s="36"/>
      <c r="H15" s="36"/>
      <c r="I15" s="36"/>
      <c r="J15" s="36"/>
      <c r="K15" s="36"/>
      <c r="L15" s="36"/>
      <c r="M15" s="36"/>
      <c r="N15" s="37"/>
    </row>
    <row r="16" spans="1:14" x14ac:dyDescent="0.3">
      <c r="A16" s="35"/>
      <c r="B16" s="36"/>
      <c r="C16" s="36"/>
      <c r="D16" s="37"/>
      <c r="E16" s="35"/>
      <c r="F16" s="36"/>
      <c r="G16" s="36"/>
      <c r="H16" s="36"/>
      <c r="I16" s="36"/>
      <c r="J16" s="36"/>
      <c r="K16" s="36"/>
      <c r="L16" s="36"/>
      <c r="M16" s="36"/>
      <c r="N16" s="37"/>
    </row>
  </sheetData>
  <sheetProtection algorithmName="SHA-512" hashValue="Gd9pvH4sMr+5dUuq0XHqkHXZ5lWBEkccg7CpSycsJqJYAy7nAC0AlaaWe5+hBQE8JdGl0Tx6mLj4cEw6X2dDsQ==" saltValue="+FTMB8k+5+MhO+vLpnY7Ug==" spinCount="100000" sheet="1" objects="1" scenarios="1"/>
  <mergeCells count="22">
    <mergeCell ref="A15:D15"/>
    <mergeCell ref="E15:N15"/>
    <mergeCell ref="A16:D16"/>
    <mergeCell ref="E16:N16"/>
    <mergeCell ref="A5:D5"/>
    <mergeCell ref="E5:N5"/>
    <mergeCell ref="A11:D11"/>
    <mergeCell ref="E11:N11"/>
    <mergeCell ref="A12:D12"/>
    <mergeCell ref="A13:D13"/>
    <mergeCell ref="A14:D14"/>
    <mergeCell ref="E12:N12"/>
    <mergeCell ref="E13:N13"/>
    <mergeCell ref="E14:N14"/>
    <mergeCell ref="A6:D6"/>
    <mergeCell ref="E6:N6"/>
    <mergeCell ref="A4:D4"/>
    <mergeCell ref="E4:N4"/>
    <mergeCell ref="A7:D7"/>
    <mergeCell ref="E7:N7"/>
    <mergeCell ref="A8:D8"/>
    <mergeCell ref="E8:N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5BA14-A297-43B7-BA56-85C8C939BFE7}">
  <sheetPr codeName="Sheet10"/>
  <dimension ref="A1:B30"/>
  <sheetViews>
    <sheetView workbookViewId="0">
      <selection activeCell="B3" sqref="B3"/>
    </sheetView>
  </sheetViews>
  <sheetFormatPr defaultRowHeight="16.5" x14ac:dyDescent="0.3"/>
  <cols>
    <col min="1" max="1" width="9" style="19"/>
    <col min="2" max="16384" width="9" style="16"/>
  </cols>
  <sheetData>
    <row r="1" spans="1:2" x14ac:dyDescent="0.3">
      <c r="A1" s="17" t="s">
        <v>9</v>
      </c>
      <c r="B1" s="15" t="s">
        <v>58</v>
      </c>
    </row>
    <row r="2" spans="1:2" x14ac:dyDescent="0.3">
      <c r="A2" s="18" t="str">
        <f>IF(NOT(ISBLANK(B2)) = TRUE, TEXT(ROW()-1,"000"), "")</f>
        <v>001</v>
      </c>
      <c r="B2" s="16">
        <v>2021</v>
      </c>
    </row>
    <row r="3" spans="1:2" x14ac:dyDescent="0.3">
      <c r="A3" s="18" t="str">
        <f t="shared" ref="A3:A30" si="0">IF(NOT(ISBLANK(B3)) = TRUE, TEXT(ROW()-1,"000"), "")</f>
        <v>002</v>
      </c>
      <c r="B3" s="16">
        <v>2022</v>
      </c>
    </row>
    <row r="4" spans="1:2" x14ac:dyDescent="0.3">
      <c r="A4" s="18" t="str">
        <f t="shared" si="0"/>
        <v>003</v>
      </c>
      <c r="B4" s="16">
        <v>2023</v>
      </c>
    </row>
    <row r="5" spans="1:2" x14ac:dyDescent="0.3">
      <c r="A5" s="18" t="str">
        <f t="shared" si="0"/>
        <v>004</v>
      </c>
      <c r="B5" s="16">
        <v>2024</v>
      </c>
    </row>
    <row r="6" spans="1:2" x14ac:dyDescent="0.3">
      <c r="A6" s="18" t="str">
        <f t="shared" si="0"/>
        <v>005</v>
      </c>
      <c r="B6" s="16">
        <v>2025</v>
      </c>
    </row>
    <row r="7" spans="1:2" x14ac:dyDescent="0.3">
      <c r="A7" s="18" t="str">
        <f t="shared" si="0"/>
        <v>006</v>
      </c>
      <c r="B7" s="16">
        <v>2026</v>
      </c>
    </row>
    <row r="8" spans="1:2" x14ac:dyDescent="0.3">
      <c r="A8" s="18" t="str">
        <f t="shared" si="0"/>
        <v>007</v>
      </c>
      <c r="B8" s="16">
        <v>2027</v>
      </c>
    </row>
    <row r="9" spans="1:2" x14ac:dyDescent="0.3">
      <c r="A9" s="18" t="str">
        <f t="shared" si="0"/>
        <v>008</v>
      </c>
      <c r="B9" s="16">
        <v>2028</v>
      </c>
    </row>
    <row r="10" spans="1:2" x14ac:dyDescent="0.3">
      <c r="A10" s="18" t="str">
        <f t="shared" si="0"/>
        <v>009</v>
      </c>
      <c r="B10" s="16">
        <v>2029</v>
      </c>
    </row>
    <row r="11" spans="1:2" x14ac:dyDescent="0.3">
      <c r="A11" s="18" t="str">
        <f t="shared" si="0"/>
        <v>010</v>
      </c>
      <c r="B11" s="16">
        <v>2030</v>
      </c>
    </row>
    <row r="12" spans="1:2" x14ac:dyDescent="0.3">
      <c r="A12" s="18" t="str">
        <f t="shared" si="0"/>
        <v>011</v>
      </c>
      <c r="B12" s="16">
        <v>2031</v>
      </c>
    </row>
    <row r="13" spans="1:2" x14ac:dyDescent="0.3">
      <c r="A13" s="18" t="str">
        <f t="shared" si="0"/>
        <v/>
      </c>
    </row>
    <row r="14" spans="1:2" x14ac:dyDescent="0.3">
      <c r="A14" s="18" t="str">
        <f t="shared" si="0"/>
        <v/>
      </c>
    </row>
    <row r="15" spans="1:2" x14ac:dyDescent="0.3">
      <c r="A15" s="18" t="str">
        <f t="shared" si="0"/>
        <v/>
      </c>
    </row>
    <row r="16" spans="1:2" x14ac:dyDescent="0.3">
      <c r="A16" s="18" t="str">
        <f t="shared" si="0"/>
        <v/>
      </c>
    </row>
    <row r="17" spans="1:1" x14ac:dyDescent="0.3">
      <c r="A17" s="18" t="str">
        <f t="shared" si="0"/>
        <v/>
      </c>
    </row>
    <row r="18" spans="1:1" x14ac:dyDescent="0.3">
      <c r="A18" s="18" t="str">
        <f t="shared" si="0"/>
        <v/>
      </c>
    </row>
    <row r="19" spans="1:1" x14ac:dyDescent="0.3">
      <c r="A19" s="18" t="str">
        <f t="shared" si="0"/>
        <v/>
      </c>
    </row>
    <row r="20" spans="1:1" x14ac:dyDescent="0.3">
      <c r="A20" s="18" t="str">
        <f t="shared" si="0"/>
        <v/>
      </c>
    </row>
    <row r="21" spans="1:1" x14ac:dyDescent="0.3">
      <c r="A21" s="18" t="str">
        <f t="shared" si="0"/>
        <v/>
      </c>
    </row>
    <row r="22" spans="1:1" x14ac:dyDescent="0.3">
      <c r="A22" s="18" t="str">
        <f t="shared" si="0"/>
        <v/>
      </c>
    </row>
    <row r="23" spans="1:1" x14ac:dyDescent="0.3">
      <c r="A23" s="18" t="str">
        <f t="shared" si="0"/>
        <v/>
      </c>
    </row>
    <row r="24" spans="1:1" x14ac:dyDescent="0.3">
      <c r="A24" s="18" t="str">
        <f t="shared" si="0"/>
        <v/>
      </c>
    </row>
    <row r="25" spans="1:1" x14ac:dyDescent="0.3">
      <c r="A25" s="18" t="str">
        <f t="shared" si="0"/>
        <v/>
      </c>
    </row>
    <row r="26" spans="1:1" x14ac:dyDescent="0.3">
      <c r="A26" s="18" t="str">
        <f t="shared" si="0"/>
        <v/>
      </c>
    </row>
    <row r="27" spans="1:1" x14ac:dyDescent="0.3">
      <c r="A27" s="18" t="str">
        <f t="shared" si="0"/>
        <v/>
      </c>
    </row>
    <row r="28" spans="1:1" x14ac:dyDescent="0.3">
      <c r="A28" s="18" t="str">
        <f t="shared" si="0"/>
        <v/>
      </c>
    </row>
    <row r="29" spans="1:1" x14ac:dyDescent="0.3">
      <c r="A29" s="18" t="str">
        <f t="shared" si="0"/>
        <v/>
      </c>
    </row>
    <row r="30" spans="1:1" x14ac:dyDescent="0.3">
      <c r="A30" s="18" t="str">
        <f t="shared" si="0"/>
        <v/>
      </c>
    </row>
  </sheetData>
  <sheetProtection algorithmName="SHA-512" hashValue="uXk7F8Drtlq4jPAKZ+/4wwNMY2+PcpXDJV8pUZa/MGA369Lcyugs5hRipi4O6YrQwI4Wtn4LvPDni/Q0FXhwOQ==" saltValue="9+GnjGQt9VES9Hb3+t9rLg==" spinCount="100000" sheet="1" objects="1" scenarios="1"/>
  <phoneticPr fontId="1" type="noConversion"/>
  <conditionalFormatting sqref="A2:B30">
    <cfRule type="expression" dxfId="14" priority="1">
      <formula>$B2&lt;&gt;""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49B6E-5E0E-4D9A-95A0-703A235DAF3B}">
  <sheetPr codeName="Sheet5"/>
  <dimension ref="A1:E562"/>
  <sheetViews>
    <sheetView workbookViewId="0">
      <selection activeCell="B51" sqref="B51"/>
    </sheetView>
  </sheetViews>
  <sheetFormatPr defaultRowHeight="16.5" x14ac:dyDescent="0.3"/>
  <cols>
    <col min="1" max="1" width="9.25" style="19" bestFit="1" customWidth="1"/>
    <col min="2" max="2" width="11.125" style="19" bestFit="1" customWidth="1"/>
    <col min="3" max="16384" width="9" style="19"/>
  </cols>
  <sheetData>
    <row r="1" spans="1:5" x14ac:dyDescent="0.3">
      <c r="A1" s="20" t="s">
        <v>0</v>
      </c>
      <c r="B1" s="26">
        <v>2021</v>
      </c>
    </row>
    <row r="2" spans="1:5" x14ac:dyDescent="0.3">
      <c r="A2" s="20" t="s">
        <v>7</v>
      </c>
      <c r="B2" s="21">
        <f>DATE($B$1+1, 1, 1) - DATE($B$1,1,1)</f>
        <v>365</v>
      </c>
    </row>
    <row r="3" spans="1:5" x14ac:dyDescent="0.3">
      <c r="A3" s="22" t="s">
        <v>8</v>
      </c>
    </row>
    <row r="4" spans="1:5" ht="17.25" thickBot="1" x14ac:dyDescent="0.35">
      <c r="A4" s="20" t="s">
        <v>6</v>
      </c>
      <c r="B4" s="20" t="s">
        <v>2</v>
      </c>
      <c r="C4" s="23" t="s">
        <v>3</v>
      </c>
      <c r="D4" s="20" t="s">
        <v>4</v>
      </c>
      <c r="E4" s="20" t="s">
        <v>5</v>
      </c>
    </row>
    <row r="5" spans="1:5" ht="17.25" thickBot="1" x14ac:dyDescent="0.35">
      <c r="A5" s="18">
        <f>IFERROR(IF(ROW()-COUNTA($A$1:$A$4)&lt;=$B$2,ROW()-COUNTA($A$1:$A$4),""),"")</f>
        <v>1</v>
      </c>
      <c r="B5" s="24">
        <f>IFERROR(DATE($B$1,1,A5), "")</f>
        <v>44197</v>
      </c>
      <c r="C5" s="25" t="str" cm="1">
        <f t="array" ref="C5">IFERROR(_xlfn.IFS(WEEKDAY(B5-1)=1,"월",WEEKDAY(B5-1)=2,"화",WEEKDAY(B5-1)=3,"수",WEEKDAY(B5-1)=4,"목",WEEKDAY(B5-1)=5,"금",WEEKDAY(B5-1)=6,"토",WEEKDAY(B5-1)=7,"일"),"")</f>
        <v>금</v>
      </c>
      <c r="D5" s="19" t="str">
        <f>IFERROR(IF(OR(WEEKDAY(B5-1)=6,WEEKDAY(B5-1)=7), "Y", ""),"")</f>
        <v/>
      </c>
    </row>
    <row r="6" spans="1:5" x14ac:dyDescent="0.3">
      <c r="A6" s="18">
        <f t="shared" ref="A6:A69" si="0">IFERROR(IF(ROW()-COUNTA($A$1:$A$4)&lt;=$B$2,ROW()-COUNTA($A$1:$A$4),""),"")</f>
        <v>2</v>
      </c>
      <c r="B6" s="24">
        <f t="shared" ref="B6:B69" si="1">IFERROR(DATE($B$1,1,A6), "")</f>
        <v>44198</v>
      </c>
      <c r="C6" s="19" t="str" cm="1">
        <f t="array" ref="C6">IFERROR(_xlfn.IFS(WEEKDAY(B6-1)=1,"월",WEEKDAY(B6-1)=2,"화",WEEKDAY(B6-1)=3,"수",WEEKDAY(B6-1)=4,"목",WEEKDAY(B6-1)=5,"금",WEEKDAY(B6-1)=6,"토",WEEKDAY(B6-1)=7,"일"),"")</f>
        <v>토</v>
      </c>
      <c r="D6" s="19" t="str">
        <f t="shared" ref="D6:D69" si="2">IFERROR(IF(OR(WEEKDAY(B6-1)=6,WEEKDAY(B6-1)=7), "Y", ""),"")</f>
        <v>Y</v>
      </c>
    </row>
    <row r="7" spans="1:5" x14ac:dyDescent="0.3">
      <c r="A7" s="18">
        <f t="shared" si="0"/>
        <v>3</v>
      </c>
      <c r="B7" s="24">
        <f t="shared" si="1"/>
        <v>44199</v>
      </c>
      <c r="C7" s="19" t="str" cm="1">
        <f t="array" ref="C7">IFERROR(_xlfn.IFS(WEEKDAY(B7-1)=1,"월",WEEKDAY(B7-1)=2,"화",WEEKDAY(B7-1)=3,"수",WEEKDAY(B7-1)=4,"목",WEEKDAY(B7-1)=5,"금",WEEKDAY(B7-1)=6,"토",WEEKDAY(B7-1)=7,"일"),"")</f>
        <v>일</v>
      </c>
      <c r="D7" s="19" t="str">
        <f t="shared" si="2"/>
        <v>Y</v>
      </c>
    </row>
    <row r="8" spans="1:5" x14ac:dyDescent="0.3">
      <c r="A8" s="18">
        <f t="shared" si="0"/>
        <v>4</v>
      </c>
      <c r="B8" s="24">
        <f t="shared" si="1"/>
        <v>44200</v>
      </c>
      <c r="C8" s="19" t="str" cm="1">
        <f t="array" ref="C8">IFERROR(_xlfn.IFS(WEEKDAY(B8-1)=1,"월",WEEKDAY(B8-1)=2,"화",WEEKDAY(B8-1)=3,"수",WEEKDAY(B8-1)=4,"목",WEEKDAY(B8-1)=5,"금",WEEKDAY(B8-1)=6,"토",WEEKDAY(B8-1)=7,"일"),"")</f>
        <v>월</v>
      </c>
      <c r="D8" s="19" t="str">
        <f t="shared" si="2"/>
        <v/>
      </c>
    </row>
    <row r="9" spans="1:5" x14ac:dyDescent="0.3">
      <c r="A9" s="18">
        <f t="shared" si="0"/>
        <v>5</v>
      </c>
      <c r="B9" s="24">
        <f t="shared" si="1"/>
        <v>44201</v>
      </c>
      <c r="C9" s="19" t="str" cm="1">
        <f t="array" ref="C9">IFERROR(_xlfn.IFS(WEEKDAY(B9-1)=1,"월",WEEKDAY(B9-1)=2,"화",WEEKDAY(B9-1)=3,"수",WEEKDAY(B9-1)=4,"목",WEEKDAY(B9-1)=5,"금",WEEKDAY(B9-1)=6,"토",WEEKDAY(B9-1)=7,"일"),"")</f>
        <v>화</v>
      </c>
      <c r="D9" s="19" t="str">
        <f t="shared" si="2"/>
        <v/>
      </c>
    </row>
    <row r="10" spans="1:5" x14ac:dyDescent="0.3">
      <c r="A10" s="18">
        <f t="shared" si="0"/>
        <v>6</v>
      </c>
      <c r="B10" s="24">
        <f t="shared" si="1"/>
        <v>44202</v>
      </c>
      <c r="C10" s="19" t="str" cm="1">
        <f t="array" ref="C10">IFERROR(_xlfn.IFS(WEEKDAY(B10-1)=1,"월",WEEKDAY(B10-1)=2,"화",WEEKDAY(B10-1)=3,"수",WEEKDAY(B10-1)=4,"목",WEEKDAY(B10-1)=5,"금",WEEKDAY(B10-1)=6,"토",WEEKDAY(B10-1)=7,"일"),"")</f>
        <v>수</v>
      </c>
      <c r="D10" s="19" t="str">
        <f t="shared" si="2"/>
        <v/>
      </c>
    </row>
    <row r="11" spans="1:5" x14ac:dyDescent="0.3">
      <c r="A11" s="18">
        <f t="shared" si="0"/>
        <v>7</v>
      </c>
      <c r="B11" s="24">
        <f t="shared" si="1"/>
        <v>44203</v>
      </c>
      <c r="C11" s="19" t="str" cm="1">
        <f t="array" ref="C11">IFERROR(_xlfn.IFS(WEEKDAY(B11-1)=1,"월",WEEKDAY(B11-1)=2,"화",WEEKDAY(B11-1)=3,"수",WEEKDAY(B11-1)=4,"목",WEEKDAY(B11-1)=5,"금",WEEKDAY(B11-1)=6,"토",WEEKDAY(B11-1)=7,"일"),"")</f>
        <v>목</v>
      </c>
      <c r="D11" s="19" t="str">
        <f t="shared" si="2"/>
        <v/>
      </c>
    </row>
    <row r="12" spans="1:5" x14ac:dyDescent="0.3">
      <c r="A12" s="18">
        <f t="shared" si="0"/>
        <v>8</v>
      </c>
      <c r="B12" s="24">
        <f t="shared" si="1"/>
        <v>44204</v>
      </c>
      <c r="C12" s="19" t="str" cm="1">
        <f t="array" ref="C12">IFERROR(_xlfn.IFS(WEEKDAY(B12-1)=1,"월",WEEKDAY(B12-1)=2,"화",WEEKDAY(B12-1)=3,"수",WEEKDAY(B12-1)=4,"목",WEEKDAY(B12-1)=5,"금",WEEKDAY(B12-1)=6,"토",WEEKDAY(B12-1)=7,"일"),"")</f>
        <v>금</v>
      </c>
      <c r="D12" s="19" t="str">
        <f t="shared" si="2"/>
        <v/>
      </c>
    </row>
    <row r="13" spans="1:5" x14ac:dyDescent="0.3">
      <c r="A13" s="18">
        <f t="shared" si="0"/>
        <v>9</v>
      </c>
      <c r="B13" s="24">
        <f t="shared" si="1"/>
        <v>44205</v>
      </c>
      <c r="C13" s="19" t="str" cm="1">
        <f t="array" ref="C13">IFERROR(_xlfn.IFS(WEEKDAY(B13-1)=1,"월",WEEKDAY(B13-1)=2,"화",WEEKDAY(B13-1)=3,"수",WEEKDAY(B13-1)=4,"목",WEEKDAY(B13-1)=5,"금",WEEKDAY(B13-1)=6,"토",WEEKDAY(B13-1)=7,"일"),"")</f>
        <v>토</v>
      </c>
      <c r="D13" s="19" t="str">
        <f t="shared" si="2"/>
        <v>Y</v>
      </c>
    </row>
    <row r="14" spans="1:5" x14ac:dyDescent="0.3">
      <c r="A14" s="18">
        <f t="shared" si="0"/>
        <v>10</v>
      </c>
      <c r="B14" s="24">
        <f t="shared" si="1"/>
        <v>44206</v>
      </c>
      <c r="C14" s="19" t="str" cm="1">
        <f t="array" ref="C14">IFERROR(_xlfn.IFS(WEEKDAY(B14-1)=1,"월",WEEKDAY(B14-1)=2,"화",WEEKDAY(B14-1)=3,"수",WEEKDAY(B14-1)=4,"목",WEEKDAY(B14-1)=5,"금",WEEKDAY(B14-1)=6,"토",WEEKDAY(B14-1)=7,"일"),"")</f>
        <v>일</v>
      </c>
      <c r="D14" s="19" t="str">
        <f t="shared" si="2"/>
        <v>Y</v>
      </c>
    </row>
    <row r="15" spans="1:5" x14ac:dyDescent="0.3">
      <c r="A15" s="18">
        <f t="shared" si="0"/>
        <v>11</v>
      </c>
      <c r="B15" s="24">
        <f t="shared" si="1"/>
        <v>44207</v>
      </c>
      <c r="C15" s="19" t="str" cm="1">
        <f t="array" ref="C15">IFERROR(_xlfn.IFS(WEEKDAY(B15-1)=1,"월",WEEKDAY(B15-1)=2,"화",WEEKDAY(B15-1)=3,"수",WEEKDAY(B15-1)=4,"목",WEEKDAY(B15-1)=5,"금",WEEKDAY(B15-1)=6,"토",WEEKDAY(B15-1)=7,"일"),"")</f>
        <v>월</v>
      </c>
      <c r="D15" s="19" t="str">
        <f t="shared" si="2"/>
        <v/>
      </c>
    </row>
    <row r="16" spans="1:5" x14ac:dyDescent="0.3">
      <c r="A16" s="18">
        <f t="shared" si="0"/>
        <v>12</v>
      </c>
      <c r="B16" s="24">
        <f t="shared" si="1"/>
        <v>44208</v>
      </c>
      <c r="C16" s="19" t="str" cm="1">
        <f t="array" ref="C16">IFERROR(_xlfn.IFS(WEEKDAY(B16-1)=1,"월",WEEKDAY(B16-1)=2,"화",WEEKDAY(B16-1)=3,"수",WEEKDAY(B16-1)=4,"목",WEEKDAY(B16-1)=5,"금",WEEKDAY(B16-1)=6,"토",WEEKDAY(B16-1)=7,"일"),"")</f>
        <v>화</v>
      </c>
      <c r="D16" s="19" t="str">
        <f t="shared" si="2"/>
        <v/>
      </c>
    </row>
    <row r="17" spans="1:4" x14ac:dyDescent="0.3">
      <c r="A17" s="18">
        <f t="shared" si="0"/>
        <v>13</v>
      </c>
      <c r="B17" s="24">
        <f t="shared" si="1"/>
        <v>44209</v>
      </c>
      <c r="C17" s="19" t="str" cm="1">
        <f t="array" ref="C17">IFERROR(_xlfn.IFS(WEEKDAY(B17-1)=1,"월",WEEKDAY(B17-1)=2,"화",WEEKDAY(B17-1)=3,"수",WEEKDAY(B17-1)=4,"목",WEEKDAY(B17-1)=5,"금",WEEKDAY(B17-1)=6,"토",WEEKDAY(B17-1)=7,"일"),"")</f>
        <v>수</v>
      </c>
      <c r="D17" s="19" t="str">
        <f t="shared" si="2"/>
        <v/>
      </c>
    </row>
    <row r="18" spans="1:4" x14ac:dyDescent="0.3">
      <c r="A18" s="18">
        <f t="shared" si="0"/>
        <v>14</v>
      </c>
      <c r="B18" s="24">
        <f t="shared" si="1"/>
        <v>44210</v>
      </c>
      <c r="C18" s="19" t="str" cm="1">
        <f t="array" ref="C18">IFERROR(_xlfn.IFS(WEEKDAY(B18-1)=1,"월",WEEKDAY(B18-1)=2,"화",WEEKDAY(B18-1)=3,"수",WEEKDAY(B18-1)=4,"목",WEEKDAY(B18-1)=5,"금",WEEKDAY(B18-1)=6,"토",WEEKDAY(B18-1)=7,"일"),"")</f>
        <v>목</v>
      </c>
      <c r="D18" s="19" t="str">
        <f t="shared" si="2"/>
        <v/>
      </c>
    </row>
    <row r="19" spans="1:4" x14ac:dyDescent="0.3">
      <c r="A19" s="18">
        <f t="shared" si="0"/>
        <v>15</v>
      </c>
      <c r="B19" s="24">
        <f t="shared" si="1"/>
        <v>44211</v>
      </c>
      <c r="C19" s="19" t="str" cm="1">
        <f t="array" ref="C19">IFERROR(_xlfn.IFS(WEEKDAY(B19-1)=1,"월",WEEKDAY(B19-1)=2,"화",WEEKDAY(B19-1)=3,"수",WEEKDAY(B19-1)=4,"목",WEEKDAY(B19-1)=5,"금",WEEKDAY(B19-1)=6,"토",WEEKDAY(B19-1)=7,"일"),"")</f>
        <v>금</v>
      </c>
      <c r="D19" s="19" t="str">
        <f t="shared" si="2"/>
        <v/>
      </c>
    </row>
    <row r="20" spans="1:4" x14ac:dyDescent="0.3">
      <c r="A20" s="18">
        <f t="shared" si="0"/>
        <v>16</v>
      </c>
      <c r="B20" s="24">
        <f t="shared" si="1"/>
        <v>44212</v>
      </c>
      <c r="C20" s="19" t="str" cm="1">
        <f t="array" ref="C20">IFERROR(_xlfn.IFS(WEEKDAY(B20-1)=1,"월",WEEKDAY(B20-1)=2,"화",WEEKDAY(B20-1)=3,"수",WEEKDAY(B20-1)=4,"목",WEEKDAY(B20-1)=5,"금",WEEKDAY(B20-1)=6,"토",WEEKDAY(B20-1)=7,"일"),"")</f>
        <v>토</v>
      </c>
      <c r="D20" s="19" t="str">
        <f t="shared" si="2"/>
        <v>Y</v>
      </c>
    </row>
    <row r="21" spans="1:4" x14ac:dyDescent="0.3">
      <c r="A21" s="18">
        <f t="shared" si="0"/>
        <v>17</v>
      </c>
      <c r="B21" s="24">
        <f t="shared" si="1"/>
        <v>44213</v>
      </c>
      <c r="C21" s="19" t="str" cm="1">
        <f t="array" ref="C21">IFERROR(_xlfn.IFS(WEEKDAY(B21-1)=1,"월",WEEKDAY(B21-1)=2,"화",WEEKDAY(B21-1)=3,"수",WEEKDAY(B21-1)=4,"목",WEEKDAY(B21-1)=5,"금",WEEKDAY(B21-1)=6,"토",WEEKDAY(B21-1)=7,"일"),"")</f>
        <v>일</v>
      </c>
      <c r="D21" s="19" t="str">
        <f t="shared" si="2"/>
        <v>Y</v>
      </c>
    </row>
    <row r="22" spans="1:4" x14ac:dyDescent="0.3">
      <c r="A22" s="18">
        <f t="shared" si="0"/>
        <v>18</v>
      </c>
      <c r="B22" s="24">
        <f t="shared" si="1"/>
        <v>44214</v>
      </c>
      <c r="C22" s="19" t="str" cm="1">
        <f t="array" ref="C22">IFERROR(_xlfn.IFS(WEEKDAY(B22-1)=1,"월",WEEKDAY(B22-1)=2,"화",WEEKDAY(B22-1)=3,"수",WEEKDAY(B22-1)=4,"목",WEEKDAY(B22-1)=5,"금",WEEKDAY(B22-1)=6,"토",WEEKDAY(B22-1)=7,"일"),"")</f>
        <v>월</v>
      </c>
      <c r="D22" s="19" t="str">
        <f t="shared" si="2"/>
        <v/>
      </c>
    </row>
    <row r="23" spans="1:4" x14ac:dyDescent="0.3">
      <c r="A23" s="18">
        <f t="shared" si="0"/>
        <v>19</v>
      </c>
      <c r="B23" s="24">
        <f t="shared" si="1"/>
        <v>44215</v>
      </c>
      <c r="C23" s="19" t="str" cm="1">
        <f t="array" ref="C23">IFERROR(_xlfn.IFS(WEEKDAY(B23-1)=1,"월",WEEKDAY(B23-1)=2,"화",WEEKDAY(B23-1)=3,"수",WEEKDAY(B23-1)=4,"목",WEEKDAY(B23-1)=5,"금",WEEKDAY(B23-1)=6,"토",WEEKDAY(B23-1)=7,"일"),"")</f>
        <v>화</v>
      </c>
      <c r="D23" s="19" t="str">
        <f t="shared" si="2"/>
        <v/>
      </c>
    </row>
    <row r="24" spans="1:4" x14ac:dyDescent="0.3">
      <c r="A24" s="18">
        <f t="shared" si="0"/>
        <v>20</v>
      </c>
      <c r="B24" s="24">
        <f t="shared" si="1"/>
        <v>44216</v>
      </c>
      <c r="C24" s="19" t="str" cm="1">
        <f t="array" ref="C24">IFERROR(_xlfn.IFS(WEEKDAY(B24-1)=1,"월",WEEKDAY(B24-1)=2,"화",WEEKDAY(B24-1)=3,"수",WEEKDAY(B24-1)=4,"목",WEEKDAY(B24-1)=5,"금",WEEKDAY(B24-1)=6,"토",WEEKDAY(B24-1)=7,"일"),"")</f>
        <v>수</v>
      </c>
      <c r="D24" s="19" t="str">
        <f t="shared" si="2"/>
        <v/>
      </c>
    </row>
    <row r="25" spans="1:4" x14ac:dyDescent="0.3">
      <c r="A25" s="18">
        <f t="shared" si="0"/>
        <v>21</v>
      </c>
      <c r="B25" s="24">
        <f t="shared" si="1"/>
        <v>44217</v>
      </c>
      <c r="C25" s="19" t="str" cm="1">
        <f t="array" ref="C25">IFERROR(_xlfn.IFS(WEEKDAY(B25-1)=1,"월",WEEKDAY(B25-1)=2,"화",WEEKDAY(B25-1)=3,"수",WEEKDAY(B25-1)=4,"목",WEEKDAY(B25-1)=5,"금",WEEKDAY(B25-1)=6,"토",WEEKDAY(B25-1)=7,"일"),"")</f>
        <v>목</v>
      </c>
      <c r="D25" s="19" t="str">
        <f t="shared" si="2"/>
        <v/>
      </c>
    </row>
    <row r="26" spans="1:4" x14ac:dyDescent="0.3">
      <c r="A26" s="18">
        <f t="shared" si="0"/>
        <v>22</v>
      </c>
      <c r="B26" s="24">
        <f t="shared" si="1"/>
        <v>44218</v>
      </c>
      <c r="C26" s="19" t="str" cm="1">
        <f t="array" ref="C26">IFERROR(_xlfn.IFS(WEEKDAY(B26-1)=1,"월",WEEKDAY(B26-1)=2,"화",WEEKDAY(B26-1)=3,"수",WEEKDAY(B26-1)=4,"목",WEEKDAY(B26-1)=5,"금",WEEKDAY(B26-1)=6,"토",WEEKDAY(B26-1)=7,"일"),"")</f>
        <v>금</v>
      </c>
      <c r="D26" s="19" t="str">
        <f t="shared" si="2"/>
        <v/>
      </c>
    </row>
    <row r="27" spans="1:4" x14ac:dyDescent="0.3">
      <c r="A27" s="18">
        <f t="shared" si="0"/>
        <v>23</v>
      </c>
      <c r="B27" s="24">
        <f t="shared" si="1"/>
        <v>44219</v>
      </c>
      <c r="C27" s="19" t="str" cm="1">
        <f t="array" ref="C27">IFERROR(_xlfn.IFS(WEEKDAY(B27-1)=1,"월",WEEKDAY(B27-1)=2,"화",WEEKDAY(B27-1)=3,"수",WEEKDAY(B27-1)=4,"목",WEEKDAY(B27-1)=5,"금",WEEKDAY(B27-1)=6,"토",WEEKDAY(B27-1)=7,"일"),"")</f>
        <v>토</v>
      </c>
      <c r="D27" s="19" t="str">
        <f t="shared" si="2"/>
        <v>Y</v>
      </c>
    </row>
    <row r="28" spans="1:4" x14ac:dyDescent="0.3">
      <c r="A28" s="18">
        <f t="shared" si="0"/>
        <v>24</v>
      </c>
      <c r="B28" s="24">
        <f t="shared" si="1"/>
        <v>44220</v>
      </c>
      <c r="C28" s="19" t="str" cm="1">
        <f t="array" ref="C28">IFERROR(_xlfn.IFS(WEEKDAY(B28-1)=1,"월",WEEKDAY(B28-1)=2,"화",WEEKDAY(B28-1)=3,"수",WEEKDAY(B28-1)=4,"목",WEEKDAY(B28-1)=5,"금",WEEKDAY(B28-1)=6,"토",WEEKDAY(B28-1)=7,"일"),"")</f>
        <v>일</v>
      </c>
      <c r="D28" s="19" t="str">
        <f t="shared" si="2"/>
        <v>Y</v>
      </c>
    </row>
    <row r="29" spans="1:4" x14ac:dyDescent="0.3">
      <c r="A29" s="18">
        <f t="shared" si="0"/>
        <v>25</v>
      </c>
      <c r="B29" s="24">
        <f t="shared" si="1"/>
        <v>44221</v>
      </c>
      <c r="C29" s="19" t="str" cm="1">
        <f t="array" ref="C29">IFERROR(_xlfn.IFS(WEEKDAY(B29-1)=1,"월",WEEKDAY(B29-1)=2,"화",WEEKDAY(B29-1)=3,"수",WEEKDAY(B29-1)=4,"목",WEEKDAY(B29-1)=5,"금",WEEKDAY(B29-1)=6,"토",WEEKDAY(B29-1)=7,"일"),"")</f>
        <v>월</v>
      </c>
      <c r="D29" s="19" t="str">
        <f t="shared" si="2"/>
        <v/>
      </c>
    </row>
    <row r="30" spans="1:4" x14ac:dyDescent="0.3">
      <c r="A30" s="18">
        <f t="shared" si="0"/>
        <v>26</v>
      </c>
      <c r="B30" s="24">
        <f t="shared" si="1"/>
        <v>44222</v>
      </c>
      <c r="C30" s="19" t="str" cm="1">
        <f t="array" ref="C30">IFERROR(_xlfn.IFS(WEEKDAY(B30-1)=1,"월",WEEKDAY(B30-1)=2,"화",WEEKDAY(B30-1)=3,"수",WEEKDAY(B30-1)=4,"목",WEEKDAY(B30-1)=5,"금",WEEKDAY(B30-1)=6,"토",WEEKDAY(B30-1)=7,"일"),"")</f>
        <v>화</v>
      </c>
      <c r="D30" s="19" t="str">
        <f t="shared" si="2"/>
        <v/>
      </c>
    </row>
    <row r="31" spans="1:4" x14ac:dyDescent="0.3">
      <c r="A31" s="18">
        <f t="shared" si="0"/>
        <v>27</v>
      </c>
      <c r="B31" s="24">
        <f t="shared" si="1"/>
        <v>44223</v>
      </c>
      <c r="C31" s="19" t="str" cm="1">
        <f t="array" ref="C31">IFERROR(_xlfn.IFS(WEEKDAY(B31-1)=1,"월",WEEKDAY(B31-1)=2,"화",WEEKDAY(B31-1)=3,"수",WEEKDAY(B31-1)=4,"목",WEEKDAY(B31-1)=5,"금",WEEKDAY(B31-1)=6,"토",WEEKDAY(B31-1)=7,"일"),"")</f>
        <v>수</v>
      </c>
      <c r="D31" s="19" t="str">
        <f t="shared" si="2"/>
        <v/>
      </c>
    </row>
    <row r="32" spans="1:4" x14ac:dyDescent="0.3">
      <c r="A32" s="18">
        <f t="shared" si="0"/>
        <v>28</v>
      </c>
      <c r="B32" s="24">
        <f t="shared" si="1"/>
        <v>44224</v>
      </c>
      <c r="C32" s="19" t="str" cm="1">
        <f t="array" ref="C32">IFERROR(_xlfn.IFS(WEEKDAY(B32-1)=1,"월",WEEKDAY(B32-1)=2,"화",WEEKDAY(B32-1)=3,"수",WEEKDAY(B32-1)=4,"목",WEEKDAY(B32-1)=5,"금",WEEKDAY(B32-1)=6,"토",WEEKDAY(B32-1)=7,"일"),"")</f>
        <v>목</v>
      </c>
      <c r="D32" s="19" t="str">
        <f t="shared" si="2"/>
        <v/>
      </c>
    </row>
    <row r="33" spans="1:4" x14ac:dyDescent="0.3">
      <c r="A33" s="18">
        <f t="shared" si="0"/>
        <v>29</v>
      </c>
      <c r="B33" s="24">
        <f t="shared" si="1"/>
        <v>44225</v>
      </c>
      <c r="C33" s="19" t="str" cm="1">
        <f t="array" ref="C33">IFERROR(_xlfn.IFS(WEEKDAY(B33-1)=1,"월",WEEKDAY(B33-1)=2,"화",WEEKDAY(B33-1)=3,"수",WEEKDAY(B33-1)=4,"목",WEEKDAY(B33-1)=5,"금",WEEKDAY(B33-1)=6,"토",WEEKDAY(B33-1)=7,"일"),"")</f>
        <v>금</v>
      </c>
      <c r="D33" s="19" t="str">
        <f t="shared" si="2"/>
        <v/>
      </c>
    </row>
    <row r="34" spans="1:4" x14ac:dyDescent="0.3">
      <c r="A34" s="18">
        <f t="shared" si="0"/>
        <v>30</v>
      </c>
      <c r="B34" s="24">
        <f t="shared" si="1"/>
        <v>44226</v>
      </c>
      <c r="C34" s="19" t="str" cm="1">
        <f t="array" ref="C34">IFERROR(_xlfn.IFS(WEEKDAY(B34-1)=1,"월",WEEKDAY(B34-1)=2,"화",WEEKDAY(B34-1)=3,"수",WEEKDAY(B34-1)=4,"목",WEEKDAY(B34-1)=5,"금",WEEKDAY(B34-1)=6,"토",WEEKDAY(B34-1)=7,"일"),"")</f>
        <v>토</v>
      </c>
      <c r="D34" s="19" t="str">
        <f t="shared" si="2"/>
        <v>Y</v>
      </c>
    </row>
    <row r="35" spans="1:4" x14ac:dyDescent="0.3">
      <c r="A35" s="18">
        <f t="shared" si="0"/>
        <v>31</v>
      </c>
      <c r="B35" s="24">
        <f t="shared" si="1"/>
        <v>44227</v>
      </c>
      <c r="C35" s="19" t="str" cm="1">
        <f t="array" ref="C35">IFERROR(_xlfn.IFS(WEEKDAY(B35-1)=1,"월",WEEKDAY(B35-1)=2,"화",WEEKDAY(B35-1)=3,"수",WEEKDAY(B35-1)=4,"목",WEEKDAY(B35-1)=5,"금",WEEKDAY(B35-1)=6,"토",WEEKDAY(B35-1)=7,"일"),"")</f>
        <v>일</v>
      </c>
      <c r="D35" s="19" t="str">
        <f t="shared" si="2"/>
        <v>Y</v>
      </c>
    </row>
    <row r="36" spans="1:4" x14ac:dyDescent="0.3">
      <c r="A36" s="18">
        <f t="shared" si="0"/>
        <v>32</v>
      </c>
      <c r="B36" s="24">
        <f t="shared" si="1"/>
        <v>44228</v>
      </c>
      <c r="C36" s="19" t="str" cm="1">
        <f t="array" ref="C36">IFERROR(_xlfn.IFS(WEEKDAY(B36-1)=1,"월",WEEKDAY(B36-1)=2,"화",WEEKDAY(B36-1)=3,"수",WEEKDAY(B36-1)=4,"목",WEEKDAY(B36-1)=5,"금",WEEKDAY(B36-1)=6,"토",WEEKDAY(B36-1)=7,"일"),"")</f>
        <v>월</v>
      </c>
      <c r="D36" s="19" t="str">
        <f t="shared" si="2"/>
        <v/>
      </c>
    </row>
    <row r="37" spans="1:4" x14ac:dyDescent="0.3">
      <c r="A37" s="18">
        <f t="shared" si="0"/>
        <v>33</v>
      </c>
      <c r="B37" s="24">
        <f t="shared" si="1"/>
        <v>44229</v>
      </c>
      <c r="C37" s="19" t="str" cm="1">
        <f t="array" ref="C37">IFERROR(_xlfn.IFS(WEEKDAY(B37-1)=1,"월",WEEKDAY(B37-1)=2,"화",WEEKDAY(B37-1)=3,"수",WEEKDAY(B37-1)=4,"목",WEEKDAY(B37-1)=5,"금",WEEKDAY(B37-1)=6,"토",WEEKDAY(B37-1)=7,"일"),"")</f>
        <v>화</v>
      </c>
      <c r="D37" s="19" t="str">
        <f t="shared" si="2"/>
        <v/>
      </c>
    </row>
    <row r="38" spans="1:4" x14ac:dyDescent="0.3">
      <c r="A38" s="18">
        <f t="shared" si="0"/>
        <v>34</v>
      </c>
      <c r="B38" s="24">
        <f t="shared" si="1"/>
        <v>44230</v>
      </c>
      <c r="C38" s="19" t="str" cm="1">
        <f t="array" ref="C38">IFERROR(_xlfn.IFS(WEEKDAY(B38-1)=1,"월",WEEKDAY(B38-1)=2,"화",WEEKDAY(B38-1)=3,"수",WEEKDAY(B38-1)=4,"목",WEEKDAY(B38-1)=5,"금",WEEKDAY(B38-1)=6,"토",WEEKDAY(B38-1)=7,"일"),"")</f>
        <v>수</v>
      </c>
      <c r="D38" s="19" t="str">
        <f t="shared" si="2"/>
        <v/>
      </c>
    </row>
    <row r="39" spans="1:4" x14ac:dyDescent="0.3">
      <c r="A39" s="18">
        <f t="shared" si="0"/>
        <v>35</v>
      </c>
      <c r="B39" s="24">
        <f t="shared" si="1"/>
        <v>44231</v>
      </c>
      <c r="C39" s="19" t="str" cm="1">
        <f t="array" ref="C39">IFERROR(_xlfn.IFS(WEEKDAY(B39-1)=1,"월",WEEKDAY(B39-1)=2,"화",WEEKDAY(B39-1)=3,"수",WEEKDAY(B39-1)=4,"목",WEEKDAY(B39-1)=5,"금",WEEKDAY(B39-1)=6,"토",WEEKDAY(B39-1)=7,"일"),"")</f>
        <v>목</v>
      </c>
      <c r="D39" s="19" t="str">
        <f t="shared" si="2"/>
        <v/>
      </c>
    </row>
    <row r="40" spans="1:4" x14ac:dyDescent="0.3">
      <c r="A40" s="18">
        <f t="shared" si="0"/>
        <v>36</v>
      </c>
      <c r="B40" s="24">
        <f t="shared" si="1"/>
        <v>44232</v>
      </c>
      <c r="C40" s="19" t="str" cm="1">
        <f t="array" ref="C40">IFERROR(_xlfn.IFS(WEEKDAY(B40-1)=1,"월",WEEKDAY(B40-1)=2,"화",WEEKDAY(B40-1)=3,"수",WEEKDAY(B40-1)=4,"목",WEEKDAY(B40-1)=5,"금",WEEKDAY(B40-1)=6,"토",WEEKDAY(B40-1)=7,"일"),"")</f>
        <v>금</v>
      </c>
      <c r="D40" s="19" t="str">
        <f t="shared" si="2"/>
        <v/>
      </c>
    </row>
    <row r="41" spans="1:4" x14ac:dyDescent="0.3">
      <c r="A41" s="18">
        <f t="shared" si="0"/>
        <v>37</v>
      </c>
      <c r="B41" s="24">
        <f t="shared" si="1"/>
        <v>44233</v>
      </c>
      <c r="C41" s="19" t="str" cm="1">
        <f t="array" ref="C41">IFERROR(_xlfn.IFS(WEEKDAY(B41-1)=1,"월",WEEKDAY(B41-1)=2,"화",WEEKDAY(B41-1)=3,"수",WEEKDAY(B41-1)=4,"목",WEEKDAY(B41-1)=5,"금",WEEKDAY(B41-1)=6,"토",WEEKDAY(B41-1)=7,"일"),"")</f>
        <v>토</v>
      </c>
      <c r="D41" s="19" t="str">
        <f t="shared" si="2"/>
        <v>Y</v>
      </c>
    </row>
    <row r="42" spans="1:4" x14ac:dyDescent="0.3">
      <c r="A42" s="18">
        <f t="shared" si="0"/>
        <v>38</v>
      </c>
      <c r="B42" s="24">
        <f t="shared" si="1"/>
        <v>44234</v>
      </c>
      <c r="C42" s="19" t="str" cm="1">
        <f t="array" ref="C42">IFERROR(_xlfn.IFS(WEEKDAY(B42-1)=1,"월",WEEKDAY(B42-1)=2,"화",WEEKDAY(B42-1)=3,"수",WEEKDAY(B42-1)=4,"목",WEEKDAY(B42-1)=5,"금",WEEKDAY(B42-1)=6,"토",WEEKDAY(B42-1)=7,"일"),"")</f>
        <v>일</v>
      </c>
      <c r="D42" s="19" t="str">
        <f t="shared" si="2"/>
        <v>Y</v>
      </c>
    </row>
    <row r="43" spans="1:4" x14ac:dyDescent="0.3">
      <c r="A43" s="18">
        <f t="shared" si="0"/>
        <v>39</v>
      </c>
      <c r="B43" s="24">
        <f t="shared" si="1"/>
        <v>44235</v>
      </c>
      <c r="C43" s="19" t="str" cm="1">
        <f t="array" ref="C43">IFERROR(_xlfn.IFS(WEEKDAY(B43-1)=1,"월",WEEKDAY(B43-1)=2,"화",WEEKDAY(B43-1)=3,"수",WEEKDAY(B43-1)=4,"목",WEEKDAY(B43-1)=5,"금",WEEKDAY(B43-1)=6,"토",WEEKDAY(B43-1)=7,"일"),"")</f>
        <v>월</v>
      </c>
      <c r="D43" s="19" t="str">
        <f t="shared" si="2"/>
        <v/>
      </c>
    </row>
    <row r="44" spans="1:4" x14ac:dyDescent="0.3">
      <c r="A44" s="18">
        <f t="shared" si="0"/>
        <v>40</v>
      </c>
      <c r="B44" s="24">
        <f t="shared" si="1"/>
        <v>44236</v>
      </c>
      <c r="C44" s="19" t="str" cm="1">
        <f t="array" ref="C44">IFERROR(_xlfn.IFS(WEEKDAY(B44-1)=1,"월",WEEKDAY(B44-1)=2,"화",WEEKDAY(B44-1)=3,"수",WEEKDAY(B44-1)=4,"목",WEEKDAY(B44-1)=5,"금",WEEKDAY(B44-1)=6,"토",WEEKDAY(B44-1)=7,"일"),"")</f>
        <v>화</v>
      </c>
      <c r="D44" s="19" t="str">
        <f t="shared" si="2"/>
        <v/>
      </c>
    </row>
    <row r="45" spans="1:4" x14ac:dyDescent="0.3">
      <c r="A45" s="18">
        <f t="shared" si="0"/>
        <v>41</v>
      </c>
      <c r="B45" s="24">
        <f t="shared" si="1"/>
        <v>44237</v>
      </c>
      <c r="C45" s="19" t="str" cm="1">
        <f t="array" ref="C45">IFERROR(_xlfn.IFS(WEEKDAY(B45-1)=1,"월",WEEKDAY(B45-1)=2,"화",WEEKDAY(B45-1)=3,"수",WEEKDAY(B45-1)=4,"목",WEEKDAY(B45-1)=5,"금",WEEKDAY(B45-1)=6,"토",WEEKDAY(B45-1)=7,"일"),"")</f>
        <v>수</v>
      </c>
      <c r="D45" s="19" t="str">
        <f t="shared" si="2"/>
        <v/>
      </c>
    </row>
    <row r="46" spans="1:4" x14ac:dyDescent="0.3">
      <c r="A46" s="18">
        <f t="shared" si="0"/>
        <v>42</v>
      </c>
      <c r="B46" s="24">
        <f t="shared" si="1"/>
        <v>44238</v>
      </c>
      <c r="C46" s="19" t="str" cm="1">
        <f t="array" ref="C46">IFERROR(_xlfn.IFS(WEEKDAY(B46-1)=1,"월",WEEKDAY(B46-1)=2,"화",WEEKDAY(B46-1)=3,"수",WEEKDAY(B46-1)=4,"목",WEEKDAY(B46-1)=5,"금",WEEKDAY(B46-1)=6,"토",WEEKDAY(B46-1)=7,"일"),"")</f>
        <v>목</v>
      </c>
      <c r="D46" s="19" t="str">
        <f t="shared" si="2"/>
        <v/>
      </c>
    </row>
    <row r="47" spans="1:4" x14ac:dyDescent="0.3">
      <c r="A47" s="18">
        <f t="shared" si="0"/>
        <v>43</v>
      </c>
      <c r="B47" s="24">
        <f t="shared" si="1"/>
        <v>44239</v>
      </c>
      <c r="C47" s="19" t="str" cm="1">
        <f t="array" ref="C47">IFERROR(_xlfn.IFS(WEEKDAY(B47-1)=1,"월",WEEKDAY(B47-1)=2,"화",WEEKDAY(B47-1)=3,"수",WEEKDAY(B47-1)=4,"목",WEEKDAY(B47-1)=5,"금",WEEKDAY(B47-1)=6,"토",WEEKDAY(B47-1)=7,"일"),"")</f>
        <v>금</v>
      </c>
      <c r="D47" s="19" t="str">
        <f t="shared" si="2"/>
        <v/>
      </c>
    </row>
    <row r="48" spans="1:4" x14ac:dyDescent="0.3">
      <c r="A48" s="18">
        <f t="shared" si="0"/>
        <v>44</v>
      </c>
      <c r="B48" s="24">
        <f t="shared" si="1"/>
        <v>44240</v>
      </c>
      <c r="C48" s="19" t="str" cm="1">
        <f t="array" ref="C48">IFERROR(_xlfn.IFS(WEEKDAY(B48-1)=1,"월",WEEKDAY(B48-1)=2,"화",WEEKDAY(B48-1)=3,"수",WEEKDAY(B48-1)=4,"목",WEEKDAY(B48-1)=5,"금",WEEKDAY(B48-1)=6,"토",WEEKDAY(B48-1)=7,"일"),"")</f>
        <v>토</v>
      </c>
      <c r="D48" s="19" t="str">
        <f t="shared" si="2"/>
        <v>Y</v>
      </c>
    </row>
    <row r="49" spans="1:4" x14ac:dyDescent="0.3">
      <c r="A49" s="18">
        <f t="shared" si="0"/>
        <v>45</v>
      </c>
      <c r="B49" s="24">
        <f t="shared" si="1"/>
        <v>44241</v>
      </c>
      <c r="C49" s="19" t="str" cm="1">
        <f t="array" ref="C49">IFERROR(_xlfn.IFS(WEEKDAY(B49-1)=1,"월",WEEKDAY(B49-1)=2,"화",WEEKDAY(B49-1)=3,"수",WEEKDAY(B49-1)=4,"목",WEEKDAY(B49-1)=5,"금",WEEKDAY(B49-1)=6,"토",WEEKDAY(B49-1)=7,"일"),"")</f>
        <v>일</v>
      </c>
      <c r="D49" s="19" t="str">
        <f t="shared" si="2"/>
        <v>Y</v>
      </c>
    </row>
    <row r="50" spans="1:4" x14ac:dyDescent="0.3">
      <c r="A50" s="18">
        <f t="shared" si="0"/>
        <v>46</v>
      </c>
      <c r="B50" s="24">
        <f t="shared" si="1"/>
        <v>44242</v>
      </c>
      <c r="C50" s="19" t="str" cm="1">
        <f t="array" ref="C50">IFERROR(_xlfn.IFS(WEEKDAY(B50-1)=1,"월",WEEKDAY(B50-1)=2,"화",WEEKDAY(B50-1)=3,"수",WEEKDAY(B50-1)=4,"목",WEEKDAY(B50-1)=5,"금",WEEKDAY(B50-1)=6,"토",WEEKDAY(B50-1)=7,"일"),"")</f>
        <v>월</v>
      </c>
      <c r="D50" s="19" t="str">
        <f t="shared" si="2"/>
        <v/>
      </c>
    </row>
    <row r="51" spans="1:4" x14ac:dyDescent="0.3">
      <c r="A51" s="18">
        <f t="shared" si="0"/>
        <v>47</v>
      </c>
      <c r="B51" s="24">
        <f t="shared" si="1"/>
        <v>44243</v>
      </c>
      <c r="C51" s="19" t="str" cm="1">
        <f t="array" ref="C51">IFERROR(_xlfn.IFS(WEEKDAY(B51-1)=1,"월",WEEKDAY(B51-1)=2,"화",WEEKDAY(B51-1)=3,"수",WEEKDAY(B51-1)=4,"목",WEEKDAY(B51-1)=5,"금",WEEKDAY(B51-1)=6,"토",WEEKDAY(B51-1)=7,"일"),"")</f>
        <v>화</v>
      </c>
      <c r="D51" s="19" t="str">
        <f t="shared" si="2"/>
        <v/>
      </c>
    </row>
    <row r="52" spans="1:4" x14ac:dyDescent="0.3">
      <c r="A52" s="18">
        <f t="shared" si="0"/>
        <v>48</v>
      </c>
      <c r="B52" s="24">
        <f t="shared" si="1"/>
        <v>44244</v>
      </c>
      <c r="C52" s="19" t="str" cm="1">
        <f t="array" ref="C52">IFERROR(_xlfn.IFS(WEEKDAY(B52-1)=1,"월",WEEKDAY(B52-1)=2,"화",WEEKDAY(B52-1)=3,"수",WEEKDAY(B52-1)=4,"목",WEEKDAY(B52-1)=5,"금",WEEKDAY(B52-1)=6,"토",WEEKDAY(B52-1)=7,"일"),"")</f>
        <v>수</v>
      </c>
      <c r="D52" s="19" t="str">
        <f t="shared" si="2"/>
        <v/>
      </c>
    </row>
    <row r="53" spans="1:4" x14ac:dyDescent="0.3">
      <c r="A53" s="18">
        <f t="shared" si="0"/>
        <v>49</v>
      </c>
      <c r="B53" s="24">
        <f t="shared" si="1"/>
        <v>44245</v>
      </c>
      <c r="C53" s="19" t="str" cm="1">
        <f t="array" ref="C53">IFERROR(_xlfn.IFS(WEEKDAY(B53-1)=1,"월",WEEKDAY(B53-1)=2,"화",WEEKDAY(B53-1)=3,"수",WEEKDAY(B53-1)=4,"목",WEEKDAY(B53-1)=5,"금",WEEKDAY(B53-1)=6,"토",WEEKDAY(B53-1)=7,"일"),"")</f>
        <v>목</v>
      </c>
      <c r="D53" s="19" t="str">
        <f t="shared" si="2"/>
        <v/>
      </c>
    </row>
    <row r="54" spans="1:4" x14ac:dyDescent="0.3">
      <c r="A54" s="18">
        <f t="shared" si="0"/>
        <v>50</v>
      </c>
      <c r="B54" s="24">
        <f t="shared" si="1"/>
        <v>44246</v>
      </c>
      <c r="C54" s="19" t="str" cm="1">
        <f t="array" ref="C54">IFERROR(_xlfn.IFS(WEEKDAY(B54-1)=1,"월",WEEKDAY(B54-1)=2,"화",WEEKDAY(B54-1)=3,"수",WEEKDAY(B54-1)=4,"목",WEEKDAY(B54-1)=5,"금",WEEKDAY(B54-1)=6,"토",WEEKDAY(B54-1)=7,"일"),"")</f>
        <v>금</v>
      </c>
      <c r="D54" s="19" t="str">
        <f t="shared" si="2"/>
        <v/>
      </c>
    </row>
    <row r="55" spans="1:4" x14ac:dyDescent="0.3">
      <c r="A55" s="18">
        <f t="shared" si="0"/>
        <v>51</v>
      </c>
      <c r="B55" s="24">
        <f t="shared" si="1"/>
        <v>44247</v>
      </c>
      <c r="C55" s="19" t="str" cm="1">
        <f t="array" ref="C55">IFERROR(_xlfn.IFS(WEEKDAY(B55-1)=1,"월",WEEKDAY(B55-1)=2,"화",WEEKDAY(B55-1)=3,"수",WEEKDAY(B55-1)=4,"목",WEEKDAY(B55-1)=5,"금",WEEKDAY(B55-1)=6,"토",WEEKDAY(B55-1)=7,"일"),"")</f>
        <v>토</v>
      </c>
      <c r="D55" s="19" t="str">
        <f t="shared" si="2"/>
        <v>Y</v>
      </c>
    </row>
    <row r="56" spans="1:4" x14ac:dyDescent="0.3">
      <c r="A56" s="18">
        <f t="shared" si="0"/>
        <v>52</v>
      </c>
      <c r="B56" s="24">
        <f t="shared" si="1"/>
        <v>44248</v>
      </c>
      <c r="C56" s="19" t="str" cm="1">
        <f t="array" ref="C56">IFERROR(_xlfn.IFS(WEEKDAY(B56-1)=1,"월",WEEKDAY(B56-1)=2,"화",WEEKDAY(B56-1)=3,"수",WEEKDAY(B56-1)=4,"목",WEEKDAY(B56-1)=5,"금",WEEKDAY(B56-1)=6,"토",WEEKDAY(B56-1)=7,"일"),"")</f>
        <v>일</v>
      </c>
      <c r="D56" s="19" t="str">
        <f t="shared" si="2"/>
        <v>Y</v>
      </c>
    </row>
    <row r="57" spans="1:4" x14ac:dyDescent="0.3">
      <c r="A57" s="18">
        <f t="shared" si="0"/>
        <v>53</v>
      </c>
      <c r="B57" s="24">
        <f t="shared" si="1"/>
        <v>44249</v>
      </c>
      <c r="C57" s="19" t="str" cm="1">
        <f t="array" ref="C57">IFERROR(_xlfn.IFS(WEEKDAY(B57-1)=1,"월",WEEKDAY(B57-1)=2,"화",WEEKDAY(B57-1)=3,"수",WEEKDAY(B57-1)=4,"목",WEEKDAY(B57-1)=5,"금",WEEKDAY(B57-1)=6,"토",WEEKDAY(B57-1)=7,"일"),"")</f>
        <v>월</v>
      </c>
      <c r="D57" s="19" t="str">
        <f t="shared" si="2"/>
        <v/>
      </c>
    </row>
    <row r="58" spans="1:4" x14ac:dyDescent="0.3">
      <c r="A58" s="18">
        <f t="shared" si="0"/>
        <v>54</v>
      </c>
      <c r="B58" s="24">
        <f t="shared" si="1"/>
        <v>44250</v>
      </c>
      <c r="C58" s="19" t="str" cm="1">
        <f t="array" ref="C58">IFERROR(_xlfn.IFS(WEEKDAY(B58-1)=1,"월",WEEKDAY(B58-1)=2,"화",WEEKDAY(B58-1)=3,"수",WEEKDAY(B58-1)=4,"목",WEEKDAY(B58-1)=5,"금",WEEKDAY(B58-1)=6,"토",WEEKDAY(B58-1)=7,"일"),"")</f>
        <v>화</v>
      </c>
      <c r="D58" s="19" t="str">
        <f t="shared" si="2"/>
        <v/>
      </c>
    </row>
    <row r="59" spans="1:4" x14ac:dyDescent="0.3">
      <c r="A59" s="18">
        <f t="shared" si="0"/>
        <v>55</v>
      </c>
      <c r="B59" s="24">
        <f t="shared" si="1"/>
        <v>44251</v>
      </c>
      <c r="C59" s="19" t="str" cm="1">
        <f t="array" ref="C59">IFERROR(_xlfn.IFS(WEEKDAY(B59-1)=1,"월",WEEKDAY(B59-1)=2,"화",WEEKDAY(B59-1)=3,"수",WEEKDAY(B59-1)=4,"목",WEEKDAY(B59-1)=5,"금",WEEKDAY(B59-1)=6,"토",WEEKDAY(B59-1)=7,"일"),"")</f>
        <v>수</v>
      </c>
      <c r="D59" s="19" t="str">
        <f t="shared" si="2"/>
        <v/>
      </c>
    </row>
    <row r="60" spans="1:4" x14ac:dyDescent="0.3">
      <c r="A60" s="18">
        <f t="shared" si="0"/>
        <v>56</v>
      </c>
      <c r="B60" s="24">
        <f t="shared" si="1"/>
        <v>44252</v>
      </c>
      <c r="C60" s="19" t="str" cm="1">
        <f t="array" ref="C60">IFERROR(_xlfn.IFS(WEEKDAY(B60-1)=1,"월",WEEKDAY(B60-1)=2,"화",WEEKDAY(B60-1)=3,"수",WEEKDAY(B60-1)=4,"목",WEEKDAY(B60-1)=5,"금",WEEKDAY(B60-1)=6,"토",WEEKDAY(B60-1)=7,"일"),"")</f>
        <v>목</v>
      </c>
      <c r="D60" s="19" t="str">
        <f t="shared" si="2"/>
        <v/>
      </c>
    </row>
    <row r="61" spans="1:4" x14ac:dyDescent="0.3">
      <c r="A61" s="18">
        <f t="shared" si="0"/>
        <v>57</v>
      </c>
      <c r="B61" s="24">
        <f t="shared" si="1"/>
        <v>44253</v>
      </c>
      <c r="C61" s="19" t="str" cm="1">
        <f t="array" ref="C61">IFERROR(_xlfn.IFS(WEEKDAY(B61-1)=1,"월",WEEKDAY(B61-1)=2,"화",WEEKDAY(B61-1)=3,"수",WEEKDAY(B61-1)=4,"목",WEEKDAY(B61-1)=5,"금",WEEKDAY(B61-1)=6,"토",WEEKDAY(B61-1)=7,"일"),"")</f>
        <v>금</v>
      </c>
      <c r="D61" s="19" t="str">
        <f t="shared" si="2"/>
        <v/>
      </c>
    </row>
    <row r="62" spans="1:4" x14ac:dyDescent="0.3">
      <c r="A62" s="18">
        <f t="shared" si="0"/>
        <v>58</v>
      </c>
      <c r="B62" s="24">
        <f t="shared" si="1"/>
        <v>44254</v>
      </c>
      <c r="C62" s="19" t="str" cm="1">
        <f t="array" ref="C62">IFERROR(_xlfn.IFS(WEEKDAY(B62-1)=1,"월",WEEKDAY(B62-1)=2,"화",WEEKDAY(B62-1)=3,"수",WEEKDAY(B62-1)=4,"목",WEEKDAY(B62-1)=5,"금",WEEKDAY(B62-1)=6,"토",WEEKDAY(B62-1)=7,"일"),"")</f>
        <v>토</v>
      </c>
      <c r="D62" s="19" t="str">
        <f t="shared" si="2"/>
        <v>Y</v>
      </c>
    </row>
    <row r="63" spans="1:4" x14ac:dyDescent="0.3">
      <c r="A63" s="18">
        <f t="shared" si="0"/>
        <v>59</v>
      </c>
      <c r="B63" s="24">
        <f t="shared" si="1"/>
        <v>44255</v>
      </c>
      <c r="C63" s="19" t="str" cm="1">
        <f t="array" ref="C63">IFERROR(_xlfn.IFS(WEEKDAY(B63-1)=1,"월",WEEKDAY(B63-1)=2,"화",WEEKDAY(B63-1)=3,"수",WEEKDAY(B63-1)=4,"목",WEEKDAY(B63-1)=5,"금",WEEKDAY(B63-1)=6,"토",WEEKDAY(B63-1)=7,"일"),"")</f>
        <v>일</v>
      </c>
      <c r="D63" s="19" t="str">
        <f t="shared" si="2"/>
        <v>Y</v>
      </c>
    </row>
    <row r="64" spans="1:4" x14ac:dyDescent="0.3">
      <c r="A64" s="18">
        <f t="shared" si="0"/>
        <v>60</v>
      </c>
      <c r="B64" s="24">
        <f t="shared" si="1"/>
        <v>44256</v>
      </c>
      <c r="C64" s="19" t="str" cm="1">
        <f t="array" ref="C64">IFERROR(_xlfn.IFS(WEEKDAY(B64-1)=1,"월",WEEKDAY(B64-1)=2,"화",WEEKDAY(B64-1)=3,"수",WEEKDAY(B64-1)=4,"목",WEEKDAY(B64-1)=5,"금",WEEKDAY(B64-1)=6,"토",WEEKDAY(B64-1)=7,"일"),"")</f>
        <v>월</v>
      </c>
      <c r="D64" s="19" t="str">
        <f t="shared" si="2"/>
        <v/>
      </c>
    </row>
    <row r="65" spans="1:4" x14ac:dyDescent="0.3">
      <c r="A65" s="18">
        <f t="shared" si="0"/>
        <v>61</v>
      </c>
      <c r="B65" s="24">
        <f t="shared" si="1"/>
        <v>44257</v>
      </c>
      <c r="C65" s="19" t="str" cm="1">
        <f t="array" ref="C65">IFERROR(_xlfn.IFS(WEEKDAY(B65-1)=1,"월",WEEKDAY(B65-1)=2,"화",WEEKDAY(B65-1)=3,"수",WEEKDAY(B65-1)=4,"목",WEEKDAY(B65-1)=5,"금",WEEKDAY(B65-1)=6,"토",WEEKDAY(B65-1)=7,"일"),"")</f>
        <v>화</v>
      </c>
      <c r="D65" s="19" t="str">
        <f t="shared" si="2"/>
        <v/>
      </c>
    </row>
    <row r="66" spans="1:4" x14ac:dyDescent="0.3">
      <c r="A66" s="18">
        <f t="shared" si="0"/>
        <v>62</v>
      </c>
      <c r="B66" s="24">
        <f t="shared" si="1"/>
        <v>44258</v>
      </c>
      <c r="C66" s="19" t="str" cm="1">
        <f t="array" ref="C66">IFERROR(_xlfn.IFS(WEEKDAY(B66-1)=1,"월",WEEKDAY(B66-1)=2,"화",WEEKDAY(B66-1)=3,"수",WEEKDAY(B66-1)=4,"목",WEEKDAY(B66-1)=5,"금",WEEKDAY(B66-1)=6,"토",WEEKDAY(B66-1)=7,"일"),"")</f>
        <v>수</v>
      </c>
      <c r="D66" s="19" t="str">
        <f t="shared" si="2"/>
        <v/>
      </c>
    </row>
    <row r="67" spans="1:4" x14ac:dyDescent="0.3">
      <c r="A67" s="18">
        <f t="shared" si="0"/>
        <v>63</v>
      </c>
      <c r="B67" s="24">
        <f t="shared" si="1"/>
        <v>44259</v>
      </c>
      <c r="C67" s="19" t="str" cm="1">
        <f t="array" ref="C67">IFERROR(_xlfn.IFS(WEEKDAY(B67-1)=1,"월",WEEKDAY(B67-1)=2,"화",WEEKDAY(B67-1)=3,"수",WEEKDAY(B67-1)=4,"목",WEEKDAY(B67-1)=5,"금",WEEKDAY(B67-1)=6,"토",WEEKDAY(B67-1)=7,"일"),"")</f>
        <v>목</v>
      </c>
      <c r="D67" s="19" t="str">
        <f t="shared" si="2"/>
        <v/>
      </c>
    </row>
    <row r="68" spans="1:4" x14ac:dyDescent="0.3">
      <c r="A68" s="18">
        <f t="shared" si="0"/>
        <v>64</v>
      </c>
      <c r="B68" s="24">
        <f t="shared" si="1"/>
        <v>44260</v>
      </c>
      <c r="C68" s="19" t="str" cm="1">
        <f t="array" ref="C68">IFERROR(_xlfn.IFS(WEEKDAY(B68-1)=1,"월",WEEKDAY(B68-1)=2,"화",WEEKDAY(B68-1)=3,"수",WEEKDAY(B68-1)=4,"목",WEEKDAY(B68-1)=5,"금",WEEKDAY(B68-1)=6,"토",WEEKDAY(B68-1)=7,"일"),"")</f>
        <v>금</v>
      </c>
      <c r="D68" s="19" t="str">
        <f t="shared" si="2"/>
        <v/>
      </c>
    </row>
    <row r="69" spans="1:4" x14ac:dyDescent="0.3">
      <c r="A69" s="18">
        <f t="shared" si="0"/>
        <v>65</v>
      </c>
      <c r="B69" s="24">
        <f t="shared" si="1"/>
        <v>44261</v>
      </c>
      <c r="C69" s="19" t="str" cm="1">
        <f t="array" ref="C69">IFERROR(_xlfn.IFS(WEEKDAY(B69-1)=1,"월",WEEKDAY(B69-1)=2,"화",WEEKDAY(B69-1)=3,"수",WEEKDAY(B69-1)=4,"목",WEEKDAY(B69-1)=5,"금",WEEKDAY(B69-1)=6,"토",WEEKDAY(B69-1)=7,"일"),"")</f>
        <v>토</v>
      </c>
      <c r="D69" s="19" t="str">
        <f t="shared" si="2"/>
        <v>Y</v>
      </c>
    </row>
    <row r="70" spans="1:4" x14ac:dyDescent="0.3">
      <c r="A70" s="18">
        <f t="shared" ref="A70:A133" si="3">IFERROR(IF(ROW()-COUNTA($A$1:$A$4)&lt;=$B$2,ROW()-COUNTA($A$1:$A$4),""),"")</f>
        <v>66</v>
      </c>
      <c r="B70" s="24">
        <f t="shared" ref="B70:B133" si="4">IFERROR(DATE($B$1,1,A70), "")</f>
        <v>44262</v>
      </c>
      <c r="C70" s="19" t="str" cm="1">
        <f t="array" ref="C70">IFERROR(_xlfn.IFS(WEEKDAY(B70-1)=1,"월",WEEKDAY(B70-1)=2,"화",WEEKDAY(B70-1)=3,"수",WEEKDAY(B70-1)=4,"목",WEEKDAY(B70-1)=5,"금",WEEKDAY(B70-1)=6,"토",WEEKDAY(B70-1)=7,"일"),"")</f>
        <v>일</v>
      </c>
      <c r="D70" s="19" t="str">
        <f t="shared" ref="D70:D133" si="5">IFERROR(IF(OR(WEEKDAY(B70-1)=6,WEEKDAY(B70-1)=7), "Y", ""),"")</f>
        <v>Y</v>
      </c>
    </row>
    <row r="71" spans="1:4" x14ac:dyDescent="0.3">
      <c r="A71" s="18">
        <f t="shared" si="3"/>
        <v>67</v>
      </c>
      <c r="B71" s="24">
        <f t="shared" si="4"/>
        <v>44263</v>
      </c>
      <c r="C71" s="19" t="str" cm="1">
        <f t="array" ref="C71">IFERROR(_xlfn.IFS(WEEKDAY(B71-1)=1,"월",WEEKDAY(B71-1)=2,"화",WEEKDAY(B71-1)=3,"수",WEEKDAY(B71-1)=4,"목",WEEKDAY(B71-1)=5,"금",WEEKDAY(B71-1)=6,"토",WEEKDAY(B71-1)=7,"일"),"")</f>
        <v>월</v>
      </c>
      <c r="D71" s="19" t="str">
        <f t="shared" si="5"/>
        <v/>
      </c>
    </row>
    <row r="72" spans="1:4" x14ac:dyDescent="0.3">
      <c r="A72" s="18">
        <f t="shared" si="3"/>
        <v>68</v>
      </c>
      <c r="B72" s="24">
        <f t="shared" si="4"/>
        <v>44264</v>
      </c>
      <c r="C72" s="19" t="str" cm="1">
        <f t="array" ref="C72">IFERROR(_xlfn.IFS(WEEKDAY(B72-1)=1,"월",WEEKDAY(B72-1)=2,"화",WEEKDAY(B72-1)=3,"수",WEEKDAY(B72-1)=4,"목",WEEKDAY(B72-1)=5,"금",WEEKDAY(B72-1)=6,"토",WEEKDAY(B72-1)=7,"일"),"")</f>
        <v>화</v>
      </c>
      <c r="D72" s="19" t="str">
        <f t="shared" si="5"/>
        <v/>
      </c>
    </row>
    <row r="73" spans="1:4" x14ac:dyDescent="0.3">
      <c r="A73" s="18">
        <f t="shared" si="3"/>
        <v>69</v>
      </c>
      <c r="B73" s="24">
        <f t="shared" si="4"/>
        <v>44265</v>
      </c>
      <c r="C73" s="19" t="str" cm="1">
        <f t="array" ref="C73">IFERROR(_xlfn.IFS(WEEKDAY(B73-1)=1,"월",WEEKDAY(B73-1)=2,"화",WEEKDAY(B73-1)=3,"수",WEEKDAY(B73-1)=4,"목",WEEKDAY(B73-1)=5,"금",WEEKDAY(B73-1)=6,"토",WEEKDAY(B73-1)=7,"일"),"")</f>
        <v>수</v>
      </c>
      <c r="D73" s="19" t="str">
        <f t="shared" si="5"/>
        <v/>
      </c>
    </row>
    <row r="74" spans="1:4" x14ac:dyDescent="0.3">
      <c r="A74" s="18">
        <f t="shared" si="3"/>
        <v>70</v>
      </c>
      <c r="B74" s="24">
        <f t="shared" si="4"/>
        <v>44266</v>
      </c>
      <c r="C74" s="19" t="str" cm="1">
        <f t="array" ref="C74">IFERROR(_xlfn.IFS(WEEKDAY(B74-1)=1,"월",WEEKDAY(B74-1)=2,"화",WEEKDAY(B74-1)=3,"수",WEEKDAY(B74-1)=4,"목",WEEKDAY(B74-1)=5,"금",WEEKDAY(B74-1)=6,"토",WEEKDAY(B74-1)=7,"일"),"")</f>
        <v>목</v>
      </c>
      <c r="D74" s="19" t="str">
        <f t="shared" si="5"/>
        <v/>
      </c>
    </row>
    <row r="75" spans="1:4" x14ac:dyDescent="0.3">
      <c r="A75" s="18">
        <f t="shared" si="3"/>
        <v>71</v>
      </c>
      <c r="B75" s="24">
        <f t="shared" si="4"/>
        <v>44267</v>
      </c>
      <c r="C75" s="19" t="str" cm="1">
        <f t="array" ref="C75">IFERROR(_xlfn.IFS(WEEKDAY(B75-1)=1,"월",WEEKDAY(B75-1)=2,"화",WEEKDAY(B75-1)=3,"수",WEEKDAY(B75-1)=4,"목",WEEKDAY(B75-1)=5,"금",WEEKDAY(B75-1)=6,"토",WEEKDAY(B75-1)=7,"일"),"")</f>
        <v>금</v>
      </c>
      <c r="D75" s="19" t="str">
        <f t="shared" si="5"/>
        <v/>
      </c>
    </row>
    <row r="76" spans="1:4" x14ac:dyDescent="0.3">
      <c r="A76" s="18">
        <f t="shared" si="3"/>
        <v>72</v>
      </c>
      <c r="B76" s="24">
        <f t="shared" si="4"/>
        <v>44268</v>
      </c>
      <c r="C76" s="19" t="str" cm="1">
        <f t="array" ref="C76">IFERROR(_xlfn.IFS(WEEKDAY(B76-1)=1,"월",WEEKDAY(B76-1)=2,"화",WEEKDAY(B76-1)=3,"수",WEEKDAY(B76-1)=4,"목",WEEKDAY(B76-1)=5,"금",WEEKDAY(B76-1)=6,"토",WEEKDAY(B76-1)=7,"일"),"")</f>
        <v>토</v>
      </c>
      <c r="D76" s="19" t="str">
        <f t="shared" si="5"/>
        <v>Y</v>
      </c>
    </row>
    <row r="77" spans="1:4" x14ac:dyDescent="0.3">
      <c r="A77" s="18">
        <f t="shared" si="3"/>
        <v>73</v>
      </c>
      <c r="B77" s="24">
        <f t="shared" si="4"/>
        <v>44269</v>
      </c>
      <c r="C77" s="19" t="str" cm="1">
        <f t="array" ref="C77">IFERROR(_xlfn.IFS(WEEKDAY(B77-1)=1,"월",WEEKDAY(B77-1)=2,"화",WEEKDAY(B77-1)=3,"수",WEEKDAY(B77-1)=4,"목",WEEKDAY(B77-1)=5,"금",WEEKDAY(B77-1)=6,"토",WEEKDAY(B77-1)=7,"일"),"")</f>
        <v>일</v>
      </c>
      <c r="D77" s="19" t="str">
        <f t="shared" si="5"/>
        <v>Y</v>
      </c>
    </row>
    <row r="78" spans="1:4" x14ac:dyDescent="0.3">
      <c r="A78" s="18">
        <f t="shared" si="3"/>
        <v>74</v>
      </c>
      <c r="B78" s="24">
        <f t="shared" si="4"/>
        <v>44270</v>
      </c>
      <c r="C78" s="19" t="str" cm="1">
        <f t="array" ref="C78">IFERROR(_xlfn.IFS(WEEKDAY(B78-1)=1,"월",WEEKDAY(B78-1)=2,"화",WEEKDAY(B78-1)=3,"수",WEEKDAY(B78-1)=4,"목",WEEKDAY(B78-1)=5,"금",WEEKDAY(B78-1)=6,"토",WEEKDAY(B78-1)=7,"일"),"")</f>
        <v>월</v>
      </c>
      <c r="D78" s="19" t="str">
        <f t="shared" si="5"/>
        <v/>
      </c>
    </row>
    <row r="79" spans="1:4" x14ac:dyDescent="0.3">
      <c r="A79" s="18">
        <f t="shared" si="3"/>
        <v>75</v>
      </c>
      <c r="B79" s="24">
        <f t="shared" si="4"/>
        <v>44271</v>
      </c>
      <c r="C79" s="19" t="str" cm="1">
        <f t="array" ref="C79">IFERROR(_xlfn.IFS(WEEKDAY(B79-1)=1,"월",WEEKDAY(B79-1)=2,"화",WEEKDAY(B79-1)=3,"수",WEEKDAY(B79-1)=4,"목",WEEKDAY(B79-1)=5,"금",WEEKDAY(B79-1)=6,"토",WEEKDAY(B79-1)=7,"일"),"")</f>
        <v>화</v>
      </c>
      <c r="D79" s="19" t="str">
        <f t="shared" si="5"/>
        <v/>
      </c>
    </row>
    <row r="80" spans="1:4" x14ac:dyDescent="0.3">
      <c r="A80" s="18">
        <f t="shared" si="3"/>
        <v>76</v>
      </c>
      <c r="B80" s="24">
        <f t="shared" si="4"/>
        <v>44272</v>
      </c>
      <c r="C80" s="19" t="str" cm="1">
        <f t="array" ref="C80">IFERROR(_xlfn.IFS(WEEKDAY(B80-1)=1,"월",WEEKDAY(B80-1)=2,"화",WEEKDAY(B80-1)=3,"수",WEEKDAY(B80-1)=4,"목",WEEKDAY(B80-1)=5,"금",WEEKDAY(B80-1)=6,"토",WEEKDAY(B80-1)=7,"일"),"")</f>
        <v>수</v>
      </c>
      <c r="D80" s="19" t="str">
        <f t="shared" si="5"/>
        <v/>
      </c>
    </row>
    <row r="81" spans="1:4" x14ac:dyDescent="0.3">
      <c r="A81" s="18">
        <f t="shared" si="3"/>
        <v>77</v>
      </c>
      <c r="B81" s="24">
        <f t="shared" si="4"/>
        <v>44273</v>
      </c>
      <c r="C81" s="19" t="str" cm="1">
        <f t="array" ref="C81">IFERROR(_xlfn.IFS(WEEKDAY(B81-1)=1,"월",WEEKDAY(B81-1)=2,"화",WEEKDAY(B81-1)=3,"수",WEEKDAY(B81-1)=4,"목",WEEKDAY(B81-1)=5,"금",WEEKDAY(B81-1)=6,"토",WEEKDAY(B81-1)=7,"일"),"")</f>
        <v>목</v>
      </c>
      <c r="D81" s="19" t="str">
        <f t="shared" si="5"/>
        <v/>
      </c>
    </row>
    <row r="82" spans="1:4" x14ac:dyDescent="0.3">
      <c r="A82" s="18">
        <f t="shared" si="3"/>
        <v>78</v>
      </c>
      <c r="B82" s="24">
        <f t="shared" si="4"/>
        <v>44274</v>
      </c>
      <c r="C82" s="19" t="str" cm="1">
        <f t="array" ref="C82">IFERROR(_xlfn.IFS(WEEKDAY(B82-1)=1,"월",WEEKDAY(B82-1)=2,"화",WEEKDAY(B82-1)=3,"수",WEEKDAY(B82-1)=4,"목",WEEKDAY(B82-1)=5,"금",WEEKDAY(B82-1)=6,"토",WEEKDAY(B82-1)=7,"일"),"")</f>
        <v>금</v>
      </c>
      <c r="D82" s="19" t="str">
        <f t="shared" si="5"/>
        <v/>
      </c>
    </row>
    <row r="83" spans="1:4" x14ac:dyDescent="0.3">
      <c r="A83" s="18">
        <f t="shared" si="3"/>
        <v>79</v>
      </c>
      <c r="B83" s="24">
        <f t="shared" si="4"/>
        <v>44275</v>
      </c>
      <c r="C83" s="19" t="str" cm="1">
        <f t="array" ref="C83">IFERROR(_xlfn.IFS(WEEKDAY(B83-1)=1,"월",WEEKDAY(B83-1)=2,"화",WEEKDAY(B83-1)=3,"수",WEEKDAY(B83-1)=4,"목",WEEKDAY(B83-1)=5,"금",WEEKDAY(B83-1)=6,"토",WEEKDAY(B83-1)=7,"일"),"")</f>
        <v>토</v>
      </c>
      <c r="D83" s="19" t="str">
        <f t="shared" si="5"/>
        <v>Y</v>
      </c>
    </row>
    <row r="84" spans="1:4" x14ac:dyDescent="0.3">
      <c r="A84" s="18">
        <f t="shared" si="3"/>
        <v>80</v>
      </c>
      <c r="B84" s="24">
        <f t="shared" si="4"/>
        <v>44276</v>
      </c>
      <c r="C84" s="19" t="str" cm="1">
        <f t="array" ref="C84">IFERROR(_xlfn.IFS(WEEKDAY(B84-1)=1,"월",WEEKDAY(B84-1)=2,"화",WEEKDAY(B84-1)=3,"수",WEEKDAY(B84-1)=4,"목",WEEKDAY(B84-1)=5,"금",WEEKDAY(B84-1)=6,"토",WEEKDAY(B84-1)=7,"일"),"")</f>
        <v>일</v>
      </c>
      <c r="D84" s="19" t="str">
        <f t="shared" si="5"/>
        <v>Y</v>
      </c>
    </row>
    <row r="85" spans="1:4" x14ac:dyDescent="0.3">
      <c r="A85" s="18">
        <f t="shared" si="3"/>
        <v>81</v>
      </c>
      <c r="B85" s="24">
        <f t="shared" si="4"/>
        <v>44277</v>
      </c>
      <c r="C85" s="19" t="str" cm="1">
        <f t="array" ref="C85">IFERROR(_xlfn.IFS(WEEKDAY(B85-1)=1,"월",WEEKDAY(B85-1)=2,"화",WEEKDAY(B85-1)=3,"수",WEEKDAY(B85-1)=4,"목",WEEKDAY(B85-1)=5,"금",WEEKDAY(B85-1)=6,"토",WEEKDAY(B85-1)=7,"일"),"")</f>
        <v>월</v>
      </c>
      <c r="D85" s="19" t="str">
        <f t="shared" si="5"/>
        <v/>
      </c>
    </row>
    <row r="86" spans="1:4" x14ac:dyDescent="0.3">
      <c r="A86" s="18">
        <f t="shared" si="3"/>
        <v>82</v>
      </c>
      <c r="B86" s="24">
        <f t="shared" si="4"/>
        <v>44278</v>
      </c>
      <c r="C86" s="19" t="str" cm="1">
        <f t="array" ref="C86">IFERROR(_xlfn.IFS(WEEKDAY(B86-1)=1,"월",WEEKDAY(B86-1)=2,"화",WEEKDAY(B86-1)=3,"수",WEEKDAY(B86-1)=4,"목",WEEKDAY(B86-1)=5,"금",WEEKDAY(B86-1)=6,"토",WEEKDAY(B86-1)=7,"일"),"")</f>
        <v>화</v>
      </c>
      <c r="D86" s="19" t="str">
        <f t="shared" si="5"/>
        <v/>
      </c>
    </row>
    <row r="87" spans="1:4" x14ac:dyDescent="0.3">
      <c r="A87" s="18">
        <f t="shared" si="3"/>
        <v>83</v>
      </c>
      <c r="B87" s="24">
        <f t="shared" si="4"/>
        <v>44279</v>
      </c>
      <c r="C87" s="19" t="str" cm="1">
        <f t="array" ref="C87">IFERROR(_xlfn.IFS(WEEKDAY(B87-1)=1,"월",WEEKDAY(B87-1)=2,"화",WEEKDAY(B87-1)=3,"수",WEEKDAY(B87-1)=4,"목",WEEKDAY(B87-1)=5,"금",WEEKDAY(B87-1)=6,"토",WEEKDAY(B87-1)=7,"일"),"")</f>
        <v>수</v>
      </c>
      <c r="D87" s="19" t="str">
        <f t="shared" si="5"/>
        <v/>
      </c>
    </row>
    <row r="88" spans="1:4" x14ac:dyDescent="0.3">
      <c r="A88" s="18">
        <f t="shared" si="3"/>
        <v>84</v>
      </c>
      <c r="B88" s="24">
        <f t="shared" si="4"/>
        <v>44280</v>
      </c>
      <c r="C88" s="19" t="str" cm="1">
        <f t="array" ref="C88">IFERROR(_xlfn.IFS(WEEKDAY(B88-1)=1,"월",WEEKDAY(B88-1)=2,"화",WEEKDAY(B88-1)=3,"수",WEEKDAY(B88-1)=4,"목",WEEKDAY(B88-1)=5,"금",WEEKDAY(B88-1)=6,"토",WEEKDAY(B88-1)=7,"일"),"")</f>
        <v>목</v>
      </c>
      <c r="D88" s="19" t="str">
        <f t="shared" si="5"/>
        <v/>
      </c>
    </row>
    <row r="89" spans="1:4" x14ac:dyDescent="0.3">
      <c r="A89" s="18">
        <f t="shared" si="3"/>
        <v>85</v>
      </c>
      <c r="B89" s="24">
        <f t="shared" si="4"/>
        <v>44281</v>
      </c>
      <c r="C89" s="19" t="str" cm="1">
        <f t="array" ref="C89">IFERROR(_xlfn.IFS(WEEKDAY(B89-1)=1,"월",WEEKDAY(B89-1)=2,"화",WEEKDAY(B89-1)=3,"수",WEEKDAY(B89-1)=4,"목",WEEKDAY(B89-1)=5,"금",WEEKDAY(B89-1)=6,"토",WEEKDAY(B89-1)=7,"일"),"")</f>
        <v>금</v>
      </c>
      <c r="D89" s="19" t="str">
        <f t="shared" si="5"/>
        <v/>
      </c>
    </row>
    <row r="90" spans="1:4" x14ac:dyDescent="0.3">
      <c r="A90" s="18">
        <f t="shared" si="3"/>
        <v>86</v>
      </c>
      <c r="B90" s="24">
        <f t="shared" si="4"/>
        <v>44282</v>
      </c>
      <c r="C90" s="19" t="str" cm="1">
        <f t="array" ref="C90">IFERROR(_xlfn.IFS(WEEKDAY(B90-1)=1,"월",WEEKDAY(B90-1)=2,"화",WEEKDAY(B90-1)=3,"수",WEEKDAY(B90-1)=4,"목",WEEKDAY(B90-1)=5,"금",WEEKDAY(B90-1)=6,"토",WEEKDAY(B90-1)=7,"일"),"")</f>
        <v>토</v>
      </c>
      <c r="D90" s="19" t="str">
        <f t="shared" si="5"/>
        <v>Y</v>
      </c>
    </row>
    <row r="91" spans="1:4" x14ac:dyDescent="0.3">
      <c r="A91" s="18">
        <f t="shared" si="3"/>
        <v>87</v>
      </c>
      <c r="B91" s="24">
        <f t="shared" si="4"/>
        <v>44283</v>
      </c>
      <c r="C91" s="19" t="str" cm="1">
        <f t="array" ref="C91">IFERROR(_xlfn.IFS(WEEKDAY(B91-1)=1,"월",WEEKDAY(B91-1)=2,"화",WEEKDAY(B91-1)=3,"수",WEEKDAY(B91-1)=4,"목",WEEKDAY(B91-1)=5,"금",WEEKDAY(B91-1)=6,"토",WEEKDAY(B91-1)=7,"일"),"")</f>
        <v>일</v>
      </c>
      <c r="D91" s="19" t="str">
        <f t="shared" si="5"/>
        <v>Y</v>
      </c>
    </row>
    <row r="92" spans="1:4" x14ac:dyDescent="0.3">
      <c r="A92" s="18">
        <f t="shared" si="3"/>
        <v>88</v>
      </c>
      <c r="B92" s="24">
        <f t="shared" si="4"/>
        <v>44284</v>
      </c>
      <c r="C92" s="19" t="str" cm="1">
        <f t="array" ref="C92">IFERROR(_xlfn.IFS(WEEKDAY(B92-1)=1,"월",WEEKDAY(B92-1)=2,"화",WEEKDAY(B92-1)=3,"수",WEEKDAY(B92-1)=4,"목",WEEKDAY(B92-1)=5,"금",WEEKDAY(B92-1)=6,"토",WEEKDAY(B92-1)=7,"일"),"")</f>
        <v>월</v>
      </c>
      <c r="D92" s="19" t="str">
        <f t="shared" si="5"/>
        <v/>
      </c>
    </row>
    <row r="93" spans="1:4" x14ac:dyDescent="0.3">
      <c r="A93" s="18">
        <f t="shared" si="3"/>
        <v>89</v>
      </c>
      <c r="B93" s="24">
        <f t="shared" si="4"/>
        <v>44285</v>
      </c>
      <c r="C93" s="19" t="str" cm="1">
        <f t="array" ref="C93">IFERROR(_xlfn.IFS(WEEKDAY(B93-1)=1,"월",WEEKDAY(B93-1)=2,"화",WEEKDAY(B93-1)=3,"수",WEEKDAY(B93-1)=4,"목",WEEKDAY(B93-1)=5,"금",WEEKDAY(B93-1)=6,"토",WEEKDAY(B93-1)=7,"일"),"")</f>
        <v>화</v>
      </c>
      <c r="D93" s="19" t="str">
        <f t="shared" si="5"/>
        <v/>
      </c>
    </row>
    <row r="94" spans="1:4" x14ac:dyDescent="0.3">
      <c r="A94" s="18">
        <f t="shared" si="3"/>
        <v>90</v>
      </c>
      <c r="B94" s="24">
        <f t="shared" si="4"/>
        <v>44286</v>
      </c>
      <c r="C94" s="19" t="str" cm="1">
        <f t="array" ref="C94">IFERROR(_xlfn.IFS(WEEKDAY(B94-1)=1,"월",WEEKDAY(B94-1)=2,"화",WEEKDAY(B94-1)=3,"수",WEEKDAY(B94-1)=4,"목",WEEKDAY(B94-1)=5,"금",WEEKDAY(B94-1)=6,"토",WEEKDAY(B94-1)=7,"일"),"")</f>
        <v>수</v>
      </c>
      <c r="D94" s="19" t="str">
        <f t="shared" si="5"/>
        <v/>
      </c>
    </row>
    <row r="95" spans="1:4" x14ac:dyDescent="0.3">
      <c r="A95" s="18">
        <f t="shared" si="3"/>
        <v>91</v>
      </c>
      <c r="B95" s="24">
        <f t="shared" si="4"/>
        <v>44287</v>
      </c>
      <c r="C95" s="19" t="str" cm="1">
        <f t="array" ref="C95">IFERROR(_xlfn.IFS(WEEKDAY(B95-1)=1,"월",WEEKDAY(B95-1)=2,"화",WEEKDAY(B95-1)=3,"수",WEEKDAY(B95-1)=4,"목",WEEKDAY(B95-1)=5,"금",WEEKDAY(B95-1)=6,"토",WEEKDAY(B95-1)=7,"일"),"")</f>
        <v>목</v>
      </c>
      <c r="D95" s="19" t="str">
        <f t="shared" si="5"/>
        <v/>
      </c>
    </row>
    <row r="96" spans="1:4" x14ac:dyDescent="0.3">
      <c r="A96" s="18">
        <f t="shared" si="3"/>
        <v>92</v>
      </c>
      <c r="B96" s="24">
        <f t="shared" si="4"/>
        <v>44288</v>
      </c>
      <c r="C96" s="19" t="str" cm="1">
        <f t="array" ref="C96">IFERROR(_xlfn.IFS(WEEKDAY(B96-1)=1,"월",WEEKDAY(B96-1)=2,"화",WEEKDAY(B96-1)=3,"수",WEEKDAY(B96-1)=4,"목",WEEKDAY(B96-1)=5,"금",WEEKDAY(B96-1)=6,"토",WEEKDAY(B96-1)=7,"일"),"")</f>
        <v>금</v>
      </c>
      <c r="D96" s="19" t="str">
        <f t="shared" si="5"/>
        <v/>
      </c>
    </row>
    <row r="97" spans="1:4" x14ac:dyDescent="0.3">
      <c r="A97" s="18">
        <f t="shared" si="3"/>
        <v>93</v>
      </c>
      <c r="B97" s="24">
        <f t="shared" si="4"/>
        <v>44289</v>
      </c>
      <c r="C97" s="19" t="str" cm="1">
        <f t="array" ref="C97">IFERROR(_xlfn.IFS(WEEKDAY(B97-1)=1,"월",WEEKDAY(B97-1)=2,"화",WEEKDAY(B97-1)=3,"수",WEEKDAY(B97-1)=4,"목",WEEKDAY(B97-1)=5,"금",WEEKDAY(B97-1)=6,"토",WEEKDAY(B97-1)=7,"일"),"")</f>
        <v>토</v>
      </c>
      <c r="D97" s="19" t="str">
        <f t="shared" si="5"/>
        <v>Y</v>
      </c>
    </row>
    <row r="98" spans="1:4" x14ac:dyDescent="0.3">
      <c r="A98" s="18">
        <f t="shared" si="3"/>
        <v>94</v>
      </c>
      <c r="B98" s="24">
        <f t="shared" si="4"/>
        <v>44290</v>
      </c>
      <c r="C98" s="19" t="str" cm="1">
        <f t="array" ref="C98">IFERROR(_xlfn.IFS(WEEKDAY(B98-1)=1,"월",WEEKDAY(B98-1)=2,"화",WEEKDAY(B98-1)=3,"수",WEEKDAY(B98-1)=4,"목",WEEKDAY(B98-1)=5,"금",WEEKDAY(B98-1)=6,"토",WEEKDAY(B98-1)=7,"일"),"")</f>
        <v>일</v>
      </c>
      <c r="D98" s="19" t="str">
        <f t="shared" si="5"/>
        <v>Y</v>
      </c>
    </row>
    <row r="99" spans="1:4" x14ac:dyDescent="0.3">
      <c r="A99" s="18">
        <f t="shared" si="3"/>
        <v>95</v>
      </c>
      <c r="B99" s="24">
        <f t="shared" si="4"/>
        <v>44291</v>
      </c>
      <c r="C99" s="19" t="str" cm="1">
        <f t="array" ref="C99">IFERROR(_xlfn.IFS(WEEKDAY(B99-1)=1,"월",WEEKDAY(B99-1)=2,"화",WEEKDAY(B99-1)=3,"수",WEEKDAY(B99-1)=4,"목",WEEKDAY(B99-1)=5,"금",WEEKDAY(B99-1)=6,"토",WEEKDAY(B99-1)=7,"일"),"")</f>
        <v>월</v>
      </c>
      <c r="D99" s="19" t="str">
        <f t="shared" si="5"/>
        <v/>
      </c>
    </row>
    <row r="100" spans="1:4" x14ac:dyDescent="0.3">
      <c r="A100" s="18">
        <f t="shared" si="3"/>
        <v>96</v>
      </c>
      <c r="B100" s="24">
        <f t="shared" si="4"/>
        <v>44292</v>
      </c>
      <c r="C100" s="19" t="str" cm="1">
        <f t="array" ref="C100">IFERROR(_xlfn.IFS(WEEKDAY(B100-1)=1,"월",WEEKDAY(B100-1)=2,"화",WEEKDAY(B100-1)=3,"수",WEEKDAY(B100-1)=4,"목",WEEKDAY(B100-1)=5,"금",WEEKDAY(B100-1)=6,"토",WEEKDAY(B100-1)=7,"일"),"")</f>
        <v>화</v>
      </c>
      <c r="D100" s="19" t="str">
        <f t="shared" si="5"/>
        <v/>
      </c>
    </row>
    <row r="101" spans="1:4" x14ac:dyDescent="0.3">
      <c r="A101" s="18">
        <f t="shared" si="3"/>
        <v>97</v>
      </c>
      <c r="B101" s="24">
        <f t="shared" si="4"/>
        <v>44293</v>
      </c>
      <c r="C101" s="19" t="str" cm="1">
        <f t="array" ref="C101">IFERROR(_xlfn.IFS(WEEKDAY(B101-1)=1,"월",WEEKDAY(B101-1)=2,"화",WEEKDAY(B101-1)=3,"수",WEEKDAY(B101-1)=4,"목",WEEKDAY(B101-1)=5,"금",WEEKDAY(B101-1)=6,"토",WEEKDAY(B101-1)=7,"일"),"")</f>
        <v>수</v>
      </c>
      <c r="D101" s="19" t="str">
        <f t="shared" si="5"/>
        <v/>
      </c>
    </row>
    <row r="102" spans="1:4" x14ac:dyDescent="0.3">
      <c r="A102" s="18">
        <f t="shared" si="3"/>
        <v>98</v>
      </c>
      <c r="B102" s="24">
        <f t="shared" si="4"/>
        <v>44294</v>
      </c>
      <c r="C102" s="19" t="str" cm="1">
        <f t="array" ref="C102">IFERROR(_xlfn.IFS(WEEKDAY(B102-1)=1,"월",WEEKDAY(B102-1)=2,"화",WEEKDAY(B102-1)=3,"수",WEEKDAY(B102-1)=4,"목",WEEKDAY(B102-1)=5,"금",WEEKDAY(B102-1)=6,"토",WEEKDAY(B102-1)=7,"일"),"")</f>
        <v>목</v>
      </c>
      <c r="D102" s="19" t="str">
        <f t="shared" si="5"/>
        <v/>
      </c>
    </row>
    <row r="103" spans="1:4" x14ac:dyDescent="0.3">
      <c r="A103" s="18">
        <f t="shared" si="3"/>
        <v>99</v>
      </c>
      <c r="B103" s="24">
        <f t="shared" si="4"/>
        <v>44295</v>
      </c>
      <c r="C103" s="19" t="str" cm="1">
        <f t="array" ref="C103">IFERROR(_xlfn.IFS(WEEKDAY(B103-1)=1,"월",WEEKDAY(B103-1)=2,"화",WEEKDAY(B103-1)=3,"수",WEEKDAY(B103-1)=4,"목",WEEKDAY(B103-1)=5,"금",WEEKDAY(B103-1)=6,"토",WEEKDAY(B103-1)=7,"일"),"")</f>
        <v>금</v>
      </c>
      <c r="D103" s="19" t="str">
        <f t="shared" si="5"/>
        <v/>
      </c>
    </row>
    <row r="104" spans="1:4" x14ac:dyDescent="0.3">
      <c r="A104" s="18">
        <f t="shared" si="3"/>
        <v>100</v>
      </c>
      <c r="B104" s="24">
        <f t="shared" si="4"/>
        <v>44296</v>
      </c>
      <c r="C104" s="19" t="str" cm="1">
        <f t="array" ref="C104">IFERROR(_xlfn.IFS(WEEKDAY(B104-1)=1,"월",WEEKDAY(B104-1)=2,"화",WEEKDAY(B104-1)=3,"수",WEEKDAY(B104-1)=4,"목",WEEKDAY(B104-1)=5,"금",WEEKDAY(B104-1)=6,"토",WEEKDAY(B104-1)=7,"일"),"")</f>
        <v>토</v>
      </c>
      <c r="D104" s="19" t="str">
        <f t="shared" si="5"/>
        <v>Y</v>
      </c>
    </row>
    <row r="105" spans="1:4" x14ac:dyDescent="0.3">
      <c r="A105" s="18">
        <f t="shared" si="3"/>
        <v>101</v>
      </c>
      <c r="B105" s="24">
        <f t="shared" si="4"/>
        <v>44297</v>
      </c>
      <c r="C105" s="19" t="str" cm="1">
        <f t="array" ref="C105">IFERROR(_xlfn.IFS(WEEKDAY(B105-1)=1,"월",WEEKDAY(B105-1)=2,"화",WEEKDAY(B105-1)=3,"수",WEEKDAY(B105-1)=4,"목",WEEKDAY(B105-1)=5,"금",WEEKDAY(B105-1)=6,"토",WEEKDAY(B105-1)=7,"일"),"")</f>
        <v>일</v>
      </c>
      <c r="D105" s="19" t="str">
        <f t="shared" si="5"/>
        <v>Y</v>
      </c>
    </row>
    <row r="106" spans="1:4" x14ac:dyDescent="0.3">
      <c r="A106" s="18">
        <f t="shared" si="3"/>
        <v>102</v>
      </c>
      <c r="B106" s="24">
        <f t="shared" si="4"/>
        <v>44298</v>
      </c>
      <c r="C106" s="19" t="str" cm="1">
        <f t="array" ref="C106">IFERROR(_xlfn.IFS(WEEKDAY(B106-1)=1,"월",WEEKDAY(B106-1)=2,"화",WEEKDAY(B106-1)=3,"수",WEEKDAY(B106-1)=4,"목",WEEKDAY(B106-1)=5,"금",WEEKDAY(B106-1)=6,"토",WEEKDAY(B106-1)=7,"일"),"")</f>
        <v>월</v>
      </c>
      <c r="D106" s="19" t="str">
        <f t="shared" si="5"/>
        <v/>
      </c>
    </row>
    <row r="107" spans="1:4" x14ac:dyDescent="0.3">
      <c r="A107" s="18">
        <f t="shared" si="3"/>
        <v>103</v>
      </c>
      <c r="B107" s="24">
        <f t="shared" si="4"/>
        <v>44299</v>
      </c>
      <c r="C107" s="19" t="str" cm="1">
        <f t="array" ref="C107">IFERROR(_xlfn.IFS(WEEKDAY(B107-1)=1,"월",WEEKDAY(B107-1)=2,"화",WEEKDAY(B107-1)=3,"수",WEEKDAY(B107-1)=4,"목",WEEKDAY(B107-1)=5,"금",WEEKDAY(B107-1)=6,"토",WEEKDAY(B107-1)=7,"일"),"")</f>
        <v>화</v>
      </c>
      <c r="D107" s="19" t="str">
        <f t="shared" si="5"/>
        <v/>
      </c>
    </row>
    <row r="108" spans="1:4" x14ac:dyDescent="0.3">
      <c r="A108" s="18">
        <f t="shared" si="3"/>
        <v>104</v>
      </c>
      <c r="B108" s="24">
        <f t="shared" si="4"/>
        <v>44300</v>
      </c>
      <c r="C108" s="19" t="str" cm="1">
        <f t="array" ref="C108">IFERROR(_xlfn.IFS(WEEKDAY(B108-1)=1,"월",WEEKDAY(B108-1)=2,"화",WEEKDAY(B108-1)=3,"수",WEEKDAY(B108-1)=4,"목",WEEKDAY(B108-1)=5,"금",WEEKDAY(B108-1)=6,"토",WEEKDAY(B108-1)=7,"일"),"")</f>
        <v>수</v>
      </c>
      <c r="D108" s="19" t="str">
        <f t="shared" si="5"/>
        <v/>
      </c>
    </row>
    <row r="109" spans="1:4" x14ac:dyDescent="0.3">
      <c r="A109" s="18">
        <f t="shared" si="3"/>
        <v>105</v>
      </c>
      <c r="B109" s="24">
        <f t="shared" si="4"/>
        <v>44301</v>
      </c>
      <c r="C109" s="19" t="str" cm="1">
        <f t="array" ref="C109">IFERROR(_xlfn.IFS(WEEKDAY(B109-1)=1,"월",WEEKDAY(B109-1)=2,"화",WEEKDAY(B109-1)=3,"수",WEEKDAY(B109-1)=4,"목",WEEKDAY(B109-1)=5,"금",WEEKDAY(B109-1)=6,"토",WEEKDAY(B109-1)=7,"일"),"")</f>
        <v>목</v>
      </c>
      <c r="D109" s="19" t="str">
        <f t="shared" si="5"/>
        <v/>
      </c>
    </row>
    <row r="110" spans="1:4" x14ac:dyDescent="0.3">
      <c r="A110" s="18">
        <f t="shared" si="3"/>
        <v>106</v>
      </c>
      <c r="B110" s="24">
        <f t="shared" si="4"/>
        <v>44302</v>
      </c>
      <c r="C110" s="19" t="str" cm="1">
        <f t="array" ref="C110">IFERROR(_xlfn.IFS(WEEKDAY(B110-1)=1,"월",WEEKDAY(B110-1)=2,"화",WEEKDAY(B110-1)=3,"수",WEEKDAY(B110-1)=4,"목",WEEKDAY(B110-1)=5,"금",WEEKDAY(B110-1)=6,"토",WEEKDAY(B110-1)=7,"일"),"")</f>
        <v>금</v>
      </c>
      <c r="D110" s="19" t="str">
        <f t="shared" si="5"/>
        <v/>
      </c>
    </row>
    <row r="111" spans="1:4" x14ac:dyDescent="0.3">
      <c r="A111" s="18">
        <f t="shared" si="3"/>
        <v>107</v>
      </c>
      <c r="B111" s="24">
        <f t="shared" si="4"/>
        <v>44303</v>
      </c>
      <c r="C111" s="19" t="str" cm="1">
        <f t="array" ref="C111">IFERROR(_xlfn.IFS(WEEKDAY(B111-1)=1,"월",WEEKDAY(B111-1)=2,"화",WEEKDAY(B111-1)=3,"수",WEEKDAY(B111-1)=4,"목",WEEKDAY(B111-1)=5,"금",WEEKDAY(B111-1)=6,"토",WEEKDAY(B111-1)=7,"일"),"")</f>
        <v>토</v>
      </c>
      <c r="D111" s="19" t="str">
        <f t="shared" si="5"/>
        <v>Y</v>
      </c>
    </row>
    <row r="112" spans="1:4" x14ac:dyDescent="0.3">
      <c r="A112" s="18">
        <f t="shared" si="3"/>
        <v>108</v>
      </c>
      <c r="B112" s="24">
        <f t="shared" si="4"/>
        <v>44304</v>
      </c>
      <c r="C112" s="19" t="str" cm="1">
        <f t="array" ref="C112">IFERROR(_xlfn.IFS(WEEKDAY(B112-1)=1,"월",WEEKDAY(B112-1)=2,"화",WEEKDAY(B112-1)=3,"수",WEEKDAY(B112-1)=4,"목",WEEKDAY(B112-1)=5,"금",WEEKDAY(B112-1)=6,"토",WEEKDAY(B112-1)=7,"일"),"")</f>
        <v>일</v>
      </c>
      <c r="D112" s="19" t="str">
        <f t="shared" si="5"/>
        <v>Y</v>
      </c>
    </row>
    <row r="113" spans="1:4" x14ac:dyDescent="0.3">
      <c r="A113" s="18">
        <f t="shared" si="3"/>
        <v>109</v>
      </c>
      <c r="B113" s="24">
        <f t="shared" si="4"/>
        <v>44305</v>
      </c>
      <c r="C113" s="19" t="str" cm="1">
        <f t="array" ref="C113">IFERROR(_xlfn.IFS(WEEKDAY(B113-1)=1,"월",WEEKDAY(B113-1)=2,"화",WEEKDAY(B113-1)=3,"수",WEEKDAY(B113-1)=4,"목",WEEKDAY(B113-1)=5,"금",WEEKDAY(B113-1)=6,"토",WEEKDAY(B113-1)=7,"일"),"")</f>
        <v>월</v>
      </c>
      <c r="D113" s="19" t="str">
        <f t="shared" si="5"/>
        <v/>
      </c>
    </row>
    <row r="114" spans="1:4" x14ac:dyDescent="0.3">
      <c r="A114" s="18">
        <f t="shared" si="3"/>
        <v>110</v>
      </c>
      <c r="B114" s="24">
        <f t="shared" si="4"/>
        <v>44306</v>
      </c>
      <c r="C114" s="19" t="str" cm="1">
        <f t="array" ref="C114">IFERROR(_xlfn.IFS(WEEKDAY(B114-1)=1,"월",WEEKDAY(B114-1)=2,"화",WEEKDAY(B114-1)=3,"수",WEEKDAY(B114-1)=4,"목",WEEKDAY(B114-1)=5,"금",WEEKDAY(B114-1)=6,"토",WEEKDAY(B114-1)=7,"일"),"")</f>
        <v>화</v>
      </c>
      <c r="D114" s="19" t="str">
        <f t="shared" si="5"/>
        <v/>
      </c>
    </row>
    <row r="115" spans="1:4" x14ac:dyDescent="0.3">
      <c r="A115" s="18">
        <f t="shared" si="3"/>
        <v>111</v>
      </c>
      <c r="B115" s="24">
        <f t="shared" si="4"/>
        <v>44307</v>
      </c>
      <c r="C115" s="19" t="str" cm="1">
        <f t="array" ref="C115">IFERROR(_xlfn.IFS(WEEKDAY(B115-1)=1,"월",WEEKDAY(B115-1)=2,"화",WEEKDAY(B115-1)=3,"수",WEEKDAY(B115-1)=4,"목",WEEKDAY(B115-1)=5,"금",WEEKDAY(B115-1)=6,"토",WEEKDAY(B115-1)=7,"일"),"")</f>
        <v>수</v>
      </c>
      <c r="D115" s="19" t="str">
        <f t="shared" si="5"/>
        <v/>
      </c>
    </row>
    <row r="116" spans="1:4" x14ac:dyDescent="0.3">
      <c r="A116" s="18">
        <f t="shared" si="3"/>
        <v>112</v>
      </c>
      <c r="B116" s="24">
        <f t="shared" si="4"/>
        <v>44308</v>
      </c>
      <c r="C116" s="19" t="str" cm="1">
        <f t="array" ref="C116">IFERROR(_xlfn.IFS(WEEKDAY(B116-1)=1,"월",WEEKDAY(B116-1)=2,"화",WEEKDAY(B116-1)=3,"수",WEEKDAY(B116-1)=4,"목",WEEKDAY(B116-1)=5,"금",WEEKDAY(B116-1)=6,"토",WEEKDAY(B116-1)=7,"일"),"")</f>
        <v>목</v>
      </c>
      <c r="D116" s="19" t="str">
        <f t="shared" si="5"/>
        <v/>
      </c>
    </row>
    <row r="117" spans="1:4" x14ac:dyDescent="0.3">
      <c r="A117" s="18">
        <f t="shared" si="3"/>
        <v>113</v>
      </c>
      <c r="B117" s="24">
        <f t="shared" si="4"/>
        <v>44309</v>
      </c>
      <c r="C117" s="19" t="str" cm="1">
        <f t="array" ref="C117">IFERROR(_xlfn.IFS(WEEKDAY(B117-1)=1,"월",WEEKDAY(B117-1)=2,"화",WEEKDAY(B117-1)=3,"수",WEEKDAY(B117-1)=4,"목",WEEKDAY(B117-1)=5,"금",WEEKDAY(B117-1)=6,"토",WEEKDAY(B117-1)=7,"일"),"")</f>
        <v>금</v>
      </c>
      <c r="D117" s="19" t="str">
        <f t="shared" si="5"/>
        <v/>
      </c>
    </row>
    <row r="118" spans="1:4" x14ac:dyDescent="0.3">
      <c r="A118" s="18">
        <f t="shared" si="3"/>
        <v>114</v>
      </c>
      <c r="B118" s="24">
        <f t="shared" si="4"/>
        <v>44310</v>
      </c>
      <c r="C118" s="19" t="str" cm="1">
        <f t="array" ref="C118">IFERROR(_xlfn.IFS(WEEKDAY(B118-1)=1,"월",WEEKDAY(B118-1)=2,"화",WEEKDAY(B118-1)=3,"수",WEEKDAY(B118-1)=4,"목",WEEKDAY(B118-1)=5,"금",WEEKDAY(B118-1)=6,"토",WEEKDAY(B118-1)=7,"일"),"")</f>
        <v>토</v>
      </c>
      <c r="D118" s="19" t="str">
        <f t="shared" si="5"/>
        <v>Y</v>
      </c>
    </row>
    <row r="119" spans="1:4" x14ac:dyDescent="0.3">
      <c r="A119" s="18">
        <f t="shared" si="3"/>
        <v>115</v>
      </c>
      <c r="B119" s="24">
        <f t="shared" si="4"/>
        <v>44311</v>
      </c>
      <c r="C119" s="19" t="str" cm="1">
        <f t="array" ref="C119">IFERROR(_xlfn.IFS(WEEKDAY(B119-1)=1,"월",WEEKDAY(B119-1)=2,"화",WEEKDAY(B119-1)=3,"수",WEEKDAY(B119-1)=4,"목",WEEKDAY(B119-1)=5,"금",WEEKDAY(B119-1)=6,"토",WEEKDAY(B119-1)=7,"일"),"")</f>
        <v>일</v>
      </c>
      <c r="D119" s="19" t="str">
        <f t="shared" si="5"/>
        <v>Y</v>
      </c>
    </row>
    <row r="120" spans="1:4" x14ac:dyDescent="0.3">
      <c r="A120" s="18">
        <f t="shared" si="3"/>
        <v>116</v>
      </c>
      <c r="B120" s="24">
        <f t="shared" si="4"/>
        <v>44312</v>
      </c>
      <c r="C120" s="19" t="str" cm="1">
        <f t="array" ref="C120">IFERROR(_xlfn.IFS(WEEKDAY(B120-1)=1,"월",WEEKDAY(B120-1)=2,"화",WEEKDAY(B120-1)=3,"수",WEEKDAY(B120-1)=4,"목",WEEKDAY(B120-1)=5,"금",WEEKDAY(B120-1)=6,"토",WEEKDAY(B120-1)=7,"일"),"")</f>
        <v>월</v>
      </c>
      <c r="D120" s="19" t="str">
        <f t="shared" si="5"/>
        <v/>
      </c>
    </row>
    <row r="121" spans="1:4" x14ac:dyDescent="0.3">
      <c r="A121" s="18">
        <f t="shared" si="3"/>
        <v>117</v>
      </c>
      <c r="B121" s="24">
        <f t="shared" si="4"/>
        <v>44313</v>
      </c>
      <c r="C121" s="19" t="str" cm="1">
        <f t="array" ref="C121">IFERROR(_xlfn.IFS(WEEKDAY(B121-1)=1,"월",WEEKDAY(B121-1)=2,"화",WEEKDAY(B121-1)=3,"수",WEEKDAY(B121-1)=4,"목",WEEKDAY(B121-1)=5,"금",WEEKDAY(B121-1)=6,"토",WEEKDAY(B121-1)=7,"일"),"")</f>
        <v>화</v>
      </c>
      <c r="D121" s="19" t="str">
        <f t="shared" si="5"/>
        <v/>
      </c>
    </row>
    <row r="122" spans="1:4" x14ac:dyDescent="0.3">
      <c r="A122" s="18">
        <f t="shared" si="3"/>
        <v>118</v>
      </c>
      <c r="B122" s="24">
        <f t="shared" si="4"/>
        <v>44314</v>
      </c>
      <c r="C122" s="19" t="str" cm="1">
        <f t="array" ref="C122">IFERROR(_xlfn.IFS(WEEKDAY(B122-1)=1,"월",WEEKDAY(B122-1)=2,"화",WEEKDAY(B122-1)=3,"수",WEEKDAY(B122-1)=4,"목",WEEKDAY(B122-1)=5,"금",WEEKDAY(B122-1)=6,"토",WEEKDAY(B122-1)=7,"일"),"")</f>
        <v>수</v>
      </c>
      <c r="D122" s="19" t="str">
        <f t="shared" si="5"/>
        <v/>
      </c>
    </row>
    <row r="123" spans="1:4" x14ac:dyDescent="0.3">
      <c r="A123" s="18">
        <f t="shared" si="3"/>
        <v>119</v>
      </c>
      <c r="B123" s="24">
        <f t="shared" si="4"/>
        <v>44315</v>
      </c>
      <c r="C123" s="19" t="str" cm="1">
        <f t="array" ref="C123">IFERROR(_xlfn.IFS(WEEKDAY(B123-1)=1,"월",WEEKDAY(B123-1)=2,"화",WEEKDAY(B123-1)=3,"수",WEEKDAY(B123-1)=4,"목",WEEKDAY(B123-1)=5,"금",WEEKDAY(B123-1)=6,"토",WEEKDAY(B123-1)=7,"일"),"")</f>
        <v>목</v>
      </c>
      <c r="D123" s="19" t="str">
        <f t="shared" si="5"/>
        <v/>
      </c>
    </row>
    <row r="124" spans="1:4" x14ac:dyDescent="0.3">
      <c r="A124" s="18">
        <f t="shared" si="3"/>
        <v>120</v>
      </c>
      <c r="B124" s="24">
        <f t="shared" si="4"/>
        <v>44316</v>
      </c>
      <c r="C124" s="19" t="str" cm="1">
        <f t="array" ref="C124">IFERROR(_xlfn.IFS(WEEKDAY(B124-1)=1,"월",WEEKDAY(B124-1)=2,"화",WEEKDAY(B124-1)=3,"수",WEEKDAY(B124-1)=4,"목",WEEKDAY(B124-1)=5,"금",WEEKDAY(B124-1)=6,"토",WEEKDAY(B124-1)=7,"일"),"")</f>
        <v>금</v>
      </c>
      <c r="D124" s="19" t="str">
        <f t="shared" si="5"/>
        <v/>
      </c>
    </row>
    <row r="125" spans="1:4" x14ac:dyDescent="0.3">
      <c r="A125" s="18">
        <f t="shared" si="3"/>
        <v>121</v>
      </c>
      <c r="B125" s="24">
        <f t="shared" si="4"/>
        <v>44317</v>
      </c>
      <c r="C125" s="19" t="str" cm="1">
        <f t="array" ref="C125">IFERROR(_xlfn.IFS(WEEKDAY(B125-1)=1,"월",WEEKDAY(B125-1)=2,"화",WEEKDAY(B125-1)=3,"수",WEEKDAY(B125-1)=4,"목",WEEKDAY(B125-1)=5,"금",WEEKDAY(B125-1)=6,"토",WEEKDAY(B125-1)=7,"일"),"")</f>
        <v>토</v>
      </c>
      <c r="D125" s="19" t="str">
        <f t="shared" si="5"/>
        <v>Y</v>
      </c>
    </row>
    <row r="126" spans="1:4" x14ac:dyDescent="0.3">
      <c r="A126" s="18">
        <f t="shared" si="3"/>
        <v>122</v>
      </c>
      <c r="B126" s="24">
        <f t="shared" si="4"/>
        <v>44318</v>
      </c>
      <c r="C126" s="19" t="str" cm="1">
        <f t="array" ref="C126">IFERROR(_xlfn.IFS(WEEKDAY(B126-1)=1,"월",WEEKDAY(B126-1)=2,"화",WEEKDAY(B126-1)=3,"수",WEEKDAY(B126-1)=4,"목",WEEKDAY(B126-1)=5,"금",WEEKDAY(B126-1)=6,"토",WEEKDAY(B126-1)=7,"일"),"")</f>
        <v>일</v>
      </c>
      <c r="D126" s="19" t="str">
        <f t="shared" si="5"/>
        <v>Y</v>
      </c>
    </row>
    <row r="127" spans="1:4" x14ac:dyDescent="0.3">
      <c r="A127" s="18">
        <f t="shared" si="3"/>
        <v>123</v>
      </c>
      <c r="B127" s="24">
        <f t="shared" si="4"/>
        <v>44319</v>
      </c>
      <c r="C127" s="19" t="str" cm="1">
        <f t="array" ref="C127">IFERROR(_xlfn.IFS(WEEKDAY(B127-1)=1,"월",WEEKDAY(B127-1)=2,"화",WEEKDAY(B127-1)=3,"수",WEEKDAY(B127-1)=4,"목",WEEKDAY(B127-1)=5,"금",WEEKDAY(B127-1)=6,"토",WEEKDAY(B127-1)=7,"일"),"")</f>
        <v>월</v>
      </c>
      <c r="D127" s="19" t="str">
        <f t="shared" si="5"/>
        <v/>
      </c>
    </row>
    <row r="128" spans="1:4" x14ac:dyDescent="0.3">
      <c r="A128" s="18">
        <f t="shared" si="3"/>
        <v>124</v>
      </c>
      <c r="B128" s="24">
        <f t="shared" si="4"/>
        <v>44320</v>
      </c>
      <c r="C128" s="19" t="str" cm="1">
        <f t="array" ref="C128">IFERROR(_xlfn.IFS(WEEKDAY(B128-1)=1,"월",WEEKDAY(B128-1)=2,"화",WEEKDAY(B128-1)=3,"수",WEEKDAY(B128-1)=4,"목",WEEKDAY(B128-1)=5,"금",WEEKDAY(B128-1)=6,"토",WEEKDAY(B128-1)=7,"일"),"")</f>
        <v>화</v>
      </c>
      <c r="D128" s="19" t="str">
        <f t="shared" si="5"/>
        <v/>
      </c>
    </row>
    <row r="129" spans="1:4" x14ac:dyDescent="0.3">
      <c r="A129" s="18">
        <f t="shared" si="3"/>
        <v>125</v>
      </c>
      <c r="B129" s="24">
        <f t="shared" si="4"/>
        <v>44321</v>
      </c>
      <c r="C129" s="19" t="str" cm="1">
        <f t="array" ref="C129">IFERROR(_xlfn.IFS(WEEKDAY(B129-1)=1,"월",WEEKDAY(B129-1)=2,"화",WEEKDAY(B129-1)=3,"수",WEEKDAY(B129-1)=4,"목",WEEKDAY(B129-1)=5,"금",WEEKDAY(B129-1)=6,"토",WEEKDAY(B129-1)=7,"일"),"")</f>
        <v>수</v>
      </c>
      <c r="D129" s="19" t="str">
        <f t="shared" si="5"/>
        <v/>
      </c>
    </row>
    <row r="130" spans="1:4" x14ac:dyDescent="0.3">
      <c r="A130" s="18">
        <f t="shared" si="3"/>
        <v>126</v>
      </c>
      <c r="B130" s="24">
        <f t="shared" si="4"/>
        <v>44322</v>
      </c>
      <c r="C130" s="19" t="str" cm="1">
        <f t="array" ref="C130">IFERROR(_xlfn.IFS(WEEKDAY(B130-1)=1,"월",WEEKDAY(B130-1)=2,"화",WEEKDAY(B130-1)=3,"수",WEEKDAY(B130-1)=4,"목",WEEKDAY(B130-1)=5,"금",WEEKDAY(B130-1)=6,"토",WEEKDAY(B130-1)=7,"일"),"")</f>
        <v>목</v>
      </c>
      <c r="D130" s="19" t="str">
        <f t="shared" si="5"/>
        <v/>
      </c>
    </row>
    <row r="131" spans="1:4" x14ac:dyDescent="0.3">
      <c r="A131" s="18">
        <f t="shared" si="3"/>
        <v>127</v>
      </c>
      <c r="B131" s="24">
        <f t="shared" si="4"/>
        <v>44323</v>
      </c>
      <c r="C131" s="19" t="str" cm="1">
        <f t="array" ref="C131">IFERROR(_xlfn.IFS(WEEKDAY(B131-1)=1,"월",WEEKDAY(B131-1)=2,"화",WEEKDAY(B131-1)=3,"수",WEEKDAY(B131-1)=4,"목",WEEKDAY(B131-1)=5,"금",WEEKDAY(B131-1)=6,"토",WEEKDAY(B131-1)=7,"일"),"")</f>
        <v>금</v>
      </c>
      <c r="D131" s="19" t="str">
        <f t="shared" si="5"/>
        <v/>
      </c>
    </row>
    <row r="132" spans="1:4" x14ac:dyDescent="0.3">
      <c r="A132" s="18">
        <f t="shared" si="3"/>
        <v>128</v>
      </c>
      <c r="B132" s="24">
        <f t="shared" si="4"/>
        <v>44324</v>
      </c>
      <c r="C132" s="19" t="str" cm="1">
        <f t="array" ref="C132">IFERROR(_xlfn.IFS(WEEKDAY(B132-1)=1,"월",WEEKDAY(B132-1)=2,"화",WEEKDAY(B132-1)=3,"수",WEEKDAY(B132-1)=4,"목",WEEKDAY(B132-1)=5,"금",WEEKDAY(B132-1)=6,"토",WEEKDAY(B132-1)=7,"일"),"")</f>
        <v>토</v>
      </c>
      <c r="D132" s="19" t="str">
        <f t="shared" si="5"/>
        <v>Y</v>
      </c>
    </row>
    <row r="133" spans="1:4" x14ac:dyDescent="0.3">
      <c r="A133" s="18">
        <f t="shared" si="3"/>
        <v>129</v>
      </c>
      <c r="B133" s="24">
        <f t="shared" si="4"/>
        <v>44325</v>
      </c>
      <c r="C133" s="19" t="str" cm="1">
        <f t="array" ref="C133">IFERROR(_xlfn.IFS(WEEKDAY(B133-1)=1,"월",WEEKDAY(B133-1)=2,"화",WEEKDAY(B133-1)=3,"수",WEEKDAY(B133-1)=4,"목",WEEKDAY(B133-1)=5,"금",WEEKDAY(B133-1)=6,"토",WEEKDAY(B133-1)=7,"일"),"")</f>
        <v>일</v>
      </c>
      <c r="D133" s="19" t="str">
        <f t="shared" si="5"/>
        <v>Y</v>
      </c>
    </row>
    <row r="134" spans="1:4" x14ac:dyDescent="0.3">
      <c r="A134" s="18">
        <f t="shared" ref="A134:A197" si="6">IFERROR(IF(ROW()-COUNTA($A$1:$A$4)&lt;=$B$2,ROW()-COUNTA($A$1:$A$4),""),"")</f>
        <v>130</v>
      </c>
      <c r="B134" s="24">
        <f t="shared" ref="B134:B197" si="7">IFERROR(DATE($B$1,1,A134), "")</f>
        <v>44326</v>
      </c>
      <c r="C134" s="19" t="str" cm="1">
        <f t="array" ref="C134">IFERROR(_xlfn.IFS(WEEKDAY(B134-1)=1,"월",WEEKDAY(B134-1)=2,"화",WEEKDAY(B134-1)=3,"수",WEEKDAY(B134-1)=4,"목",WEEKDAY(B134-1)=5,"금",WEEKDAY(B134-1)=6,"토",WEEKDAY(B134-1)=7,"일"),"")</f>
        <v>월</v>
      </c>
      <c r="D134" s="19" t="str">
        <f t="shared" ref="D134:D197" si="8">IFERROR(IF(OR(WEEKDAY(B134-1)=6,WEEKDAY(B134-1)=7), "Y", ""),"")</f>
        <v/>
      </c>
    </row>
    <row r="135" spans="1:4" x14ac:dyDescent="0.3">
      <c r="A135" s="18">
        <f t="shared" si="6"/>
        <v>131</v>
      </c>
      <c r="B135" s="24">
        <f t="shared" si="7"/>
        <v>44327</v>
      </c>
      <c r="C135" s="19" t="str" cm="1">
        <f t="array" ref="C135">IFERROR(_xlfn.IFS(WEEKDAY(B135-1)=1,"월",WEEKDAY(B135-1)=2,"화",WEEKDAY(B135-1)=3,"수",WEEKDAY(B135-1)=4,"목",WEEKDAY(B135-1)=5,"금",WEEKDAY(B135-1)=6,"토",WEEKDAY(B135-1)=7,"일"),"")</f>
        <v>화</v>
      </c>
      <c r="D135" s="19" t="str">
        <f t="shared" si="8"/>
        <v/>
      </c>
    </row>
    <row r="136" spans="1:4" x14ac:dyDescent="0.3">
      <c r="A136" s="18">
        <f t="shared" si="6"/>
        <v>132</v>
      </c>
      <c r="B136" s="24">
        <f t="shared" si="7"/>
        <v>44328</v>
      </c>
      <c r="C136" s="19" t="str" cm="1">
        <f t="array" ref="C136">IFERROR(_xlfn.IFS(WEEKDAY(B136-1)=1,"월",WEEKDAY(B136-1)=2,"화",WEEKDAY(B136-1)=3,"수",WEEKDAY(B136-1)=4,"목",WEEKDAY(B136-1)=5,"금",WEEKDAY(B136-1)=6,"토",WEEKDAY(B136-1)=7,"일"),"")</f>
        <v>수</v>
      </c>
      <c r="D136" s="19" t="str">
        <f t="shared" si="8"/>
        <v/>
      </c>
    </row>
    <row r="137" spans="1:4" x14ac:dyDescent="0.3">
      <c r="A137" s="18">
        <f t="shared" si="6"/>
        <v>133</v>
      </c>
      <c r="B137" s="24">
        <f t="shared" si="7"/>
        <v>44329</v>
      </c>
      <c r="C137" s="19" t="str" cm="1">
        <f t="array" ref="C137">IFERROR(_xlfn.IFS(WEEKDAY(B137-1)=1,"월",WEEKDAY(B137-1)=2,"화",WEEKDAY(B137-1)=3,"수",WEEKDAY(B137-1)=4,"목",WEEKDAY(B137-1)=5,"금",WEEKDAY(B137-1)=6,"토",WEEKDAY(B137-1)=7,"일"),"")</f>
        <v>목</v>
      </c>
      <c r="D137" s="19" t="str">
        <f t="shared" si="8"/>
        <v/>
      </c>
    </row>
    <row r="138" spans="1:4" x14ac:dyDescent="0.3">
      <c r="A138" s="18">
        <f t="shared" si="6"/>
        <v>134</v>
      </c>
      <c r="B138" s="24">
        <f t="shared" si="7"/>
        <v>44330</v>
      </c>
      <c r="C138" s="19" t="str" cm="1">
        <f t="array" ref="C138">IFERROR(_xlfn.IFS(WEEKDAY(B138-1)=1,"월",WEEKDAY(B138-1)=2,"화",WEEKDAY(B138-1)=3,"수",WEEKDAY(B138-1)=4,"목",WEEKDAY(B138-1)=5,"금",WEEKDAY(B138-1)=6,"토",WEEKDAY(B138-1)=7,"일"),"")</f>
        <v>금</v>
      </c>
      <c r="D138" s="19" t="str">
        <f t="shared" si="8"/>
        <v/>
      </c>
    </row>
    <row r="139" spans="1:4" x14ac:dyDescent="0.3">
      <c r="A139" s="18">
        <f t="shared" si="6"/>
        <v>135</v>
      </c>
      <c r="B139" s="24">
        <f t="shared" si="7"/>
        <v>44331</v>
      </c>
      <c r="C139" s="19" t="str" cm="1">
        <f t="array" ref="C139">IFERROR(_xlfn.IFS(WEEKDAY(B139-1)=1,"월",WEEKDAY(B139-1)=2,"화",WEEKDAY(B139-1)=3,"수",WEEKDAY(B139-1)=4,"목",WEEKDAY(B139-1)=5,"금",WEEKDAY(B139-1)=6,"토",WEEKDAY(B139-1)=7,"일"),"")</f>
        <v>토</v>
      </c>
      <c r="D139" s="19" t="str">
        <f t="shared" si="8"/>
        <v>Y</v>
      </c>
    </row>
    <row r="140" spans="1:4" x14ac:dyDescent="0.3">
      <c r="A140" s="18">
        <f t="shared" si="6"/>
        <v>136</v>
      </c>
      <c r="B140" s="24">
        <f t="shared" si="7"/>
        <v>44332</v>
      </c>
      <c r="C140" s="19" t="str" cm="1">
        <f t="array" ref="C140">IFERROR(_xlfn.IFS(WEEKDAY(B140-1)=1,"월",WEEKDAY(B140-1)=2,"화",WEEKDAY(B140-1)=3,"수",WEEKDAY(B140-1)=4,"목",WEEKDAY(B140-1)=5,"금",WEEKDAY(B140-1)=6,"토",WEEKDAY(B140-1)=7,"일"),"")</f>
        <v>일</v>
      </c>
      <c r="D140" s="19" t="str">
        <f t="shared" si="8"/>
        <v>Y</v>
      </c>
    </row>
    <row r="141" spans="1:4" x14ac:dyDescent="0.3">
      <c r="A141" s="18">
        <f t="shared" si="6"/>
        <v>137</v>
      </c>
      <c r="B141" s="24">
        <f t="shared" si="7"/>
        <v>44333</v>
      </c>
      <c r="C141" s="19" t="str" cm="1">
        <f t="array" ref="C141">IFERROR(_xlfn.IFS(WEEKDAY(B141-1)=1,"월",WEEKDAY(B141-1)=2,"화",WEEKDAY(B141-1)=3,"수",WEEKDAY(B141-1)=4,"목",WEEKDAY(B141-1)=5,"금",WEEKDAY(B141-1)=6,"토",WEEKDAY(B141-1)=7,"일"),"")</f>
        <v>월</v>
      </c>
      <c r="D141" s="19" t="str">
        <f t="shared" si="8"/>
        <v/>
      </c>
    </row>
    <row r="142" spans="1:4" x14ac:dyDescent="0.3">
      <c r="A142" s="18">
        <f t="shared" si="6"/>
        <v>138</v>
      </c>
      <c r="B142" s="24">
        <f t="shared" si="7"/>
        <v>44334</v>
      </c>
      <c r="C142" s="19" t="str" cm="1">
        <f t="array" ref="C142">IFERROR(_xlfn.IFS(WEEKDAY(B142-1)=1,"월",WEEKDAY(B142-1)=2,"화",WEEKDAY(B142-1)=3,"수",WEEKDAY(B142-1)=4,"목",WEEKDAY(B142-1)=5,"금",WEEKDAY(B142-1)=6,"토",WEEKDAY(B142-1)=7,"일"),"")</f>
        <v>화</v>
      </c>
      <c r="D142" s="19" t="str">
        <f t="shared" si="8"/>
        <v/>
      </c>
    </row>
    <row r="143" spans="1:4" x14ac:dyDescent="0.3">
      <c r="A143" s="18">
        <f t="shared" si="6"/>
        <v>139</v>
      </c>
      <c r="B143" s="24">
        <f t="shared" si="7"/>
        <v>44335</v>
      </c>
      <c r="C143" s="19" t="str" cm="1">
        <f t="array" ref="C143">IFERROR(_xlfn.IFS(WEEKDAY(B143-1)=1,"월",WEEKDAY(B143-1)=2,"화",WEEKDAY(B143-1)=3,"수",WEEKDAY(B143-1)=4,"목",WEEKDAY(B143-1)=5,"금",WEEKDAY(B143-1)=6,"토",WEEKDAY(B143-1)=7,"일"),"")</f>
        <v>수</v>
      </c>
      <c r="D143" s="19" t="str">
        <f t="shared" si="8"/>
        <v/>
      </c>
    </row>
    <row r="144" spans="1:4" x14ac:dyDescent="0.3">
      <c r="A144" s="18">
        <f t="shared" si="6"/>
        <v>140</v>
      </c>
      <c r="B144" s="24">
        <f t="shared" si="7"/>
        <v>44336</v>
      </c>
      <c r="C144" s="19" t="str" cm="1">
        <f t="array" ref="C144">IFERROR(_xlfn.IFS(WEEKDAY(B144-1)=1,"월",WEEKDAY(B144-1)=2,"화",WEEKDAY(B144-1)=3,"수",WEEKDAY(B144-1)=4,"목",WEEKDAY(B144-1)=5,"금",WEEKDAY(B144-1)=6,"토",WEEKDAY(B144-1)=7,"일"),"")</f>
        <v>목</v>
      </c>
      <c r="D144" s="19" t="str">
        <f t="shared" si="8"/>
        <v/>
      </c>
    </row>
    <row r="145" spans="1:4" x14ac:dyDescent="0.3">
      <c r="A145" s="18">
        <f t="shared" si="6"/>
        <v>141</v>
      </c>
      <c r="B145" s="24">
        <f t="shared" si="7"/>
        <v>44337</v>
      </c>
      <c r="C145" s="19" t="str" cm="1">
        <f t="array" ref="C145">IFERROR(_xlfn.IFS(WEEKDAY(B145-1)=1,"월",WEEKDAY(B145-1)=2,"화",WEEKDAY(B145-1)=3,"수",WEEKDAY(B145-1)=4,"목",WEEKDAY(B145-1)=5,"금",WEEKDAY(B145-1)=6,"토",WEEKDAY(B145-1)=7,"일"),"")</f>
        <v>금</v>
      </c>
      <c r="D145" s="19" t="str">
        <f t="shared" si="8"/>
        <v/>
      </c>
    </row>
    <row r="146" spans="1:4" x14ac:dyDescent="0.3">
      <c r="A146" s="18">
        <f t="shared" si="6"/>
        <v>142</v>
      </c>
      <c r="B146" s="24">
        <f t="shared" si="7"/>
        <v>44338</v>
      </c>
      <c r="C146" s="19" t="str" cm="1">
        <f t="array" ref="C146">IFERROR(_xlfn.IFS(WEEKDAY(B146-1)=1,"월",WEEKDAY(B146-1)=2,"화",WEEKDAY(B146-1)=3,"수",WEEKDAY(B146-1)=4,"목",WEEKDAY(B146-1)=5,"금",WEEKDAY(B146-1)=6,"토",WEEKDAY(B146-1)=7,"일"),"")</f>
        <v>토</v>
      </c>
      <c r="D146" s="19" t="str">
        <f t="shared" si="8"/>
        <v>Y</v>
      </c>
    </row>
    <row r="147" spans="1:4" x14ac:dyDescent="0.3">
      <c r="A147" s="18">
        <f t="shared" si="6"/>
        <v>143</v>
      </c>
      <c r="B147" s="24">
        <f t="shared" si="7"/>
        <v>44339</v>
      </c>
      <c r="C147" s="19" t="str" cm="1">
        <f t="array" ref="C147">IFERROR(_xlfn.IFS(WEEKDAY(B147-1)=1,"월",WEEKDAY(B147-1)=2,"화",WEEKDAY(B147-1)=3,"수",WEEKDAY(B147-1)=4,"목",WEEKDAY(B147-1)=5,"금",WEEKDAY(B147-1)=6,"토",WEEKDAY(B147-1)=7,"일"),"")</f>
        <v>일</v>
      </c>
      <c r="D147" s="19" t="str">
        <f t="shared" si="8"/>
        <v>Y</v>
      </c>
    </row>
    <row r="148" spans="1:4" x14ac:dyDescent="0.3">
      <c r="A148" s="18">
        <f t="shared" si="6"/>
        <v>144</v>
      </c>
      <c r="B148" s="24">
        <f t="shared" si="7"/>
        <v>44340</v>
      </c>
      <c r="C148" s="19" t="str" cm="1">
        <f t="array" ref="C148">IFERROR(_xlfn.IFS(WEEKDAY(B148-1)=1,"월",WEEKDAY(B148-1)=2,"화",WEEKDAY(B148-1)=3,"수",WEEKDAY(B148-1)=4,"목",WEEKDAY(B148-1)=5,"금",WEEKDAY(B148-1)=6,"토",WEEKDAY(B148-1)=7,"일"),"")</f>
        <v>월</v>
      </c>
      <c r="D148" s="19" t="str">
        <f t="shared" si="8"/>
        <v/>
      </c>
    </row>
    <row r="149" spans="1:4" x14ac:dyDescent="0.3">
      <c r="A149" s="18">
        <f t="shared" si="6"/>
        <v>145</v>
      </c>
      <c r="B149" s="24">
        <f t="shared" si="7"/>
        <v>44341</v>
      </c>
      <c r="C149" s="19" t="str" cm="1">
        <f t="array" ref="C149">IFERROR(_xlfn.IFS(WEEKDAY(B149-1)=1,"월",WEEKDAY(B149-1)=2,"화",WEEKDAY(B149-1)=3,"수",WEEKDAY(B149-1)=4,"목",WEEKDAY(B149-1)=5,"금",WEEKDAY(B149-1)=6,"토",WEEKDAY(B149-1)=7,"일"),"")</f>
        <v>화</v>
      </c>
      <c r="D149" s="19" t="str">
        <f t="shared" si="8"/>
        <v/>
      </c>
    </row>
    <row r="150" spans="1:4" x14ac:dyDescent="0.3">
      <c r="A150" s="18">
        <f t="shared" si="6"/>
        <v>146</v>
      </c>
      <c r="B150" s="24">
        <f t="shared" si="7"/>
        <v>44342</v>
      </c>
      <c r="C150" s="19" t="str" cm="1">
        <f t="array" ref="C150">IFERROR(_xlfn.IFS(WEEKDAY(B150-1)=1,"월",WEEKDAY(B150-1)=2,"화",WEEKDAY(B150-1)=3,"수",WEEKDAY(B150-1)=4,"목",WEEKDAY(B150-1)=5,"금",WEEKDAY(B150-1)=6,"토",WEEKDAY(B150-1)=7,"일"),"")</f>
        <v>수</v>
      </c>
      <c r="D150" s="19" t="str">
        <f t="shared" si="8"/>
        <v/>
      </c>
    </row>
    <row r="151" spans="1:4" x14ac:dyDescent="0.3">
      <c r="A151" s="18">
        <f t="shared" si="6"/>
        <v>147</v>
      </c>
      <c r="B151" s="24">
        <f t="shared" si="7"/>
        <v>44343</v>
      </c>
      <c r="C151" s="19" t="str" cm="1">
        <f t="array" ref="C151">IFERROR(_xlfn.IFS(WEEKDAY(B151-1)=1,"월",WEEKDAY(B151-1)=2,"화",WEEKDAY(B151-1)=3,"수",WEEKDAY(B151-1)=4,"목",WEEKDAY(B151-1)=5,"금",WEEKDAY(B151-1)=6,"토",WEEKDAY(B151-1)=7,"일"),"")</f>
        <v>목</v>
      </c>
      <c r="D151" s="19" t="str">
        <f t="shared" si="8"/>
        <v/>
      </c>
    </row>
    <row r="152" spans="1:4" x14ac:dyDescent="0.3">
      <c r="A152" s="18">
        <f t="shared" si="6"/>
        <v>148</v>
      </c>
      <c r="B152" s="24">
        <f t="shared" si="7"/>
        <v>44344</v>
      </c>
      <c r="C152" s="19" t="str" cm="1">
        <f t="array" ref="C152">IFERROR(_xlfn.IFS(WEEKDAY(B152-1)=1,"월",WEEKDAY(B152-1)=2,"화",WEEKDAY(B152-1)=3,"수",WEEKDAY(B152-1)=4,"목",WEEKDAY(B152-1)=5,"금",WEEKDAY(B152-1)=6,"토",WEEKDAY(B152-1)=7,"일"),"")</f>
        <v>금</v>
      </c>
      <c r="D152" s="19" t="str">
        <f t="shared" si="8"/>
        <v/>
      </c>
    </row>
    <row r="153" spans="1:4" x14ac:dyDescent="0.3">
      <c r="A153" s="18">
        <f t="shared" si="6"/>
        <v>149</v>
      </c>
      <c r="B153" s="24">
        <f t="shared" si="7"/>
        <v>44345</v>
      </c>
      <c r="C153" s="19" t="str" cm="1">
        <f t="array" ref="C153">IFERROR(_xlfn.IFS(WEEKDAY(B153-1)=1,"월",WEEKDAY(B153-1)=2,"화",WEEKDAY(B153-1)=3,"수",WEEKDAY(B153-1)=4,"목",WEEKDAY(B153-1)=5,"금",WEEKDAY(B153-1)=6,"토",WEEKDAY(B153-1)=7,"일"),"")</f>
        <v>토</v>
      </c>
      <c r="D153" s="19" t="str">
        <f t="shared" si="8"/>
        <v>Y</v>
      </c>
    </row>
    <row r="154" spans="1:4" x14ac:dyDescent="0.3">
      <c r="A154" s="18">
        <f t="shared" si="6"/>
        <v>150</v>
      </c>
      <c r="B154" s="24">
        <f t="shared" si="7"/>
        <v>44346</v>
      </c>
      <c r="C154" s="19" t="str" cm="1">
        <f t="array" ref="C154">IFERROR(_xlfn.IFS(WEEKDAY(B154-1)=1,"월",WEEKDAY(B154-1)=2,"화",WEEKDAY(B154-1)=3,"수",WEEKDAY(B154-1)=4,"목",WEEKDAY(B154-1)=5,"금",WEEKDAY(B154-1)=6,"토",WEEKDAY(B154-1)=7,"일"),"")</f>
        <v>일</v>
      </c>
      <c r="D154" s="19" t="str">
        <f t="shared" si="8"/>
        <v>Y</v>
      </c>
    </row>
    <row r="155" spans="1:4" x14ac:dyDescent="0.3">
      <c r="A155" s="18">
        <f t="shared" si="6"/>
        <v>151</v>
      </c>
      <c r="B155" s="24">
        <f t="shared" si="7"/>
        <v>44347</v>
      </c>
      <c r="C155" s="19" t="str" cm="1">
        <f t="array" ref="C155">IFERROR(_xlfn.IFS(WEEKDAY(B155-1)=1,"월",WEEKDAY(B155-1)=2,"화",WEEKDAY(B155-1)=3,"수",WEEKDAY(B155-1)=4,"목",WEEKDAY(B155-1)=5,"금",WEEKDAY(B155-1)=6,"토",WEEKDAY(B155-1)=7,"일"),"")</f>
        <v>월</v>
      </c>
      <c r="D155" s="19" t="str">
        <f t="shared" si="8"/>
        <v/>
      </c>
    </row>
    <row r="156" spans="1:4" x14ac:dyDescent="0.3">
      <c r="A156" s="18">
        <f t="shared" si="6"/>
        <v>152</v>
      </c>
      <c r="B156" s="24">
        <f t="shared" si="7"/>
        <v>44348</v>
      </c>
      <c r="C156" s="19" t="str" cm="1">
        <f t="array" ref="C156">IFERROR(_xlfn.IFS(WEEKDAY(B156-1)=1,"월",WEEKDAY(B156-1)=2,"화",WEEKDAY(B156-1)=3,"수",WEEKDAY(B156-1)=4,"목",WEEKDAY(B156-1)=5,"금",WEEKDAY(B156-1)=6,"토",WEEKDAY(B156-1)=7,"일"),"")</f>
        <v>화</v>
      </c>
      <c r="D156" s="19" t="str">
        <f t="shared" si="8"/>
        <v/>
      </c>
    </row>
    <row r="157" spans="1:4" x14ac:dyDescent="0.3">
      <c r="A157" s="18">
        <f t="shared" si="6"/>
        <v>153</v>
      </c>
      <c r="B157" s="24">
        <f t="shared" si="7"/>
        <v>44349</v>
      </c>
      <c r="C157" s="19" t="str" cm="1">
        <f t="array" ref="C157">IFERROR(_xlfn.IFS(WEEKDAY(B157-1)=1,"월",WEEKDAY(B157-1)=2,"화",WEEKDAY(B157-1)=3,"수",WEEKDAY(B157-1)=4,"목",WEEKDAY(B157-1)=5,"금",WEEKDAY(B157-1)=6,"토",WEEKDAY(B157-1)=7,"일"),"")</f>
        <v>수</v>
      </c>
      <c r="D157" s="19" t="str">
        <f t="shared" si="8"/>
        <v/>
      </c>
    </row>
    <row r="158" spans="1:4" x14ac:dyDescent="0.3">
      <c r="A158" s="18">
        <f t="shared" si="6"/>
        <v>154</v>
      </c>
      <c r="B158" s="24">
        <f t="shared" si="7"/>
        <v>44350</v>
      </c>
      <c r="C158" s="19" t="str" cm="1">
        <f t="array" ref="C158">IFERROR(_xlfn.IFS(WEEKDAY(B158-1)=1,"월",WEEKDAY(B158-1)=2,"화",WEEKDAY(B158-1)=3,"수",WEEKDAY(B158-1)=4,"목",WEEKDAY(B158-1)=5,"금",WEEKDAY(B158-1)=6,"토",WEEKDAY(B158-1)=7,"일"),"")</f>
        <v>목</v>
      </c>
      <c r="D158" s="19" t="str">
        <f t="shared" si="8"/>
        <v/>
      </c>
    </row>
    <row r="159" spans="1:4" x14ac:dyDescent="0.3">
      <c r="A159" s="18">
        <f t="shared" si="6"/>
        <v>155</v>
      </c>
      <c r="B159" s="24">
        <f t="shared" si="7"/>
        <v>44351</v>
      </c>
      <c r="C159" s="19" t="str" cm="1">
        <f t="array" ref="C159">IFERROR(_xlfn.IFS(WEEKDAY(B159-1)=1,"월",WEEKDAY(B159-1)=2,"화",WEEKDAY(B159-1)=3,"수",WEEKDAY(B159-1)=4,"목",WEEKDAY(B159-1)=5,"금",WEEKDAY(B159-1)=6,"토",WEEKDAY(B159-1)=7,"일"),"")</f>
        <v>금</v>
      </c>
      <c r="D159" s="19" t="str">
        <f t="shared" si="8"/>
        <v/>
      </c>
    </row>
    <row r="160" spans="1:4" x14ac:dyDescent="0.3">
      <c r="A160" s="18">
        <f t="shared" si="6"/>
        <v>156</v>
      </c>
      <c r="B160" s="24">
        <f t="shared" si="7"/>
        <v>44352</v>
      </c>
      <c r="C160" s="19" t="str" cm="1">
        <f t="array" ref="C160">IFERROR(_xlfn.IFS(WEEKDAY(B160-1)=1,"월",WEEKDAY(B160-1)=2,"화",WEEKDAY(B160-1)=3,"수",WEEKDAY(B160-1)=4,"목",WEEKDAY(B160-1)=5,"금",WEEKDAY(B160-1)=6,"토",WEEKDAY(B160-1)=7,"일"),"")</f>
        <v>토</v>
      </c>
      <c r="D160" s="19" t="str">
        <f t="shared" si="8"/>
        <v>Y</v>
      </c>
    </row>
    <row r="161" spans="1:4" x14ac:dyDescent="0.3">
      <c r="A161" s="18">
        <f t="shared" si="6"/>
        <v>157</v>
      </c>
      <c r="B161" s="24">
        <f t="shared" si="7"/>
        <v>44353</v>
      </c>
      <c r="C161" s="19" t="str" cm="1">
        <f t="array" ref="C161">IFERROR(_xlfn.IFS(WEEKDAY(B161-1)=1,"월",WEEKDAY(B161-1)=2,"화",WEEKDAY(B161-1)=3,"수",WEEKDAY(B161-1)=4,"목",WEEKDAY(B161-1)=5,"금",WEEKDAY(B161-1)=6,"토",WEEKDAY(B161-1)=7,"일"),"")</f>
        <v>일</v>
      </c>
      <c r="D161" s="19" t="str">
        <f t="shared" si="8"/>
        <v>Y</v>
      </c>
    </row>
    <row r="162" spans="1:4" x14ac:dyDescent="0.3">
      <c r="A162" s="18">
        <f t="shared" si="6"/>
        <v>158</v>
      </c>
      <c r="B162" s="24">
        <f t="shared" si="7"/>
        <v>44354</v>
      </c>
      <c r="C162" s="19" t="str" cm="1">
        <f t="array" ref="C162">IFERROR(_xlfn.IFS(WEEKDAY(B162-1)=1,"월",WEEKDAY(B162-1)=2,"화",WEEKDAY(B162-1)=3,"수",WEEKDAY(B162-1)=4,"목",WEEKDAY(B162-1)=5,"금",WEEKDAY(B162-1)=6,"토",WEEKDAY(B162-1)=7,"일"),"")</f>
        <v>월</v>
      </c>
      <c r="D162" s="19" t="str">
        <f t="shared" si="8"/>
        <v/>
      </c>
    </row>
    <row r="163" spans="1:4" x14ac:dyDescent="0.3">
      <c r="A163" s="18">
        <f t="shared" si="6"/>
        <v>159</v>
      </c>
      <c r="B163" s="24">
        <f t="shared" si="7"/>
        <v>44355</v>
      </c>
      <c r="C163" s="19" t="str" cm="1">
        <f t="array" ref="C163">IFERROR(_xlfn.IFS(WEEKDAY(B163-1)=1,"월",WEEKDAY(B163-1)=2,"화",WEEKDAY(B163-1)=3,"수",WEEKDAY(B163-1)=4,"목",WEEKDAY(B163-1)=5,"금",WEEKDAY(B163-1)=6,"토",WEEKDAY(B163-1)=7,"일"),"")</f>
        <v>화</v>
      </c>
      <c r="D163" s="19" t="str">
        <f t="shared" si="8"/>
        <v/>
      </c>
    </row>
    <row r="164" spans="1:4" x14ac:dyDescent="0.3">
      <c r="A164" s="18">
        <f t="shared" si="6"/>
        <v>160</v>
      </c>
      <c r="B164" s="24">
        <f t="shared" si="7"/>
        <v>44356</v>
      </c>
      <c r="C164" s="19" t="str" cm="1">
        <f t="array" ref="C164">IFERROR(_xlfn.IFS(WEEKDAY(B164-1)=1,"월",WEEKDAY(B164-1)=2,"화",WEEKDAY(B164-1)=3,"수",WEEKDAY(B164-1)=4,"목",WEEKDAY(B164-1)=5,"금",WEEKDAY(B164-1)=6,"토",WEEKDAY(B164-1)=7,"일"),"")</f>
        <v>수</v>
      </c>
      <c r="D164" s="19" t="str">
        <f t="shared" si="8"/>
        <v/>
      </c>
    </row>
    <row r="165" spans="1:4" x14ac:dyDescent="0.3">
      <c r="A165" s="18">
        <f t="shared" si="6"/>
        <v>161</v>
      </c>
      <c r="B165" s="24">
        <f t="shared" si="7"/>
        <v>44357</v>
      </c>
      <c r="C165" s="19" t="str" cm="1">
        <f t="array" ref="C165">IFERROR(_xlfn.IFS(WEEKDAY(B165-1)=1,"월",WEEKDAY(B165-1)=2,"화",WEEKDAY(B165-1)=3,"수",WEEKDAY(B165-1)=4,"목",WEEKDAY(B165-1)=5,"금",WEEKDAY(B165-1)=6,"토",WEEKDAY(B165-1)=7,"일"),"")</f>
        <v>목</v>
      </c>
      <c r="D165" s="19" t="str">
        <f t="shared" si="8"/>
        <v/>
      </c>
    </row>
    <row r="166" spans="1:4" x14ac:dyDescent="0.3">
      <c r="A166" s="18">
        <f t="shared" si="6"/>
        <v>162</v>
      </c>
      <c r="B166" s="24">
        <f t="shared" si="7"/>
        <v>44358</v>
      </c>
      <c r="C166" s="19" t="str" cm="1">
        <f t="array" ref="C166">IFERROR(_xlfn.IFS(WEEKDAY(B166-1)=1,"월",WEEKDAY(B166-1)=2,"화",WEEKDAY(B166-1)=3,"수",WEEKDAY(B166-1)=4,"목",WEEKDAY(B166-1)=5,"금",WEEKDAY(B166-1)=6,"토",WEEKDAY(B166-1)=7,"일"),"")</f>
        <v>금</v>
      </c>
      <c r="D166" s="19" t="str">
        <f t="shared" si="8"/>
        <v/>
      </c>
    </row>
    <row r="167" spans="1:4" x14ac:dyDescent="0.3">
      <c r="A167" s="18">
        <f t="shared" si="6"/>
        <v>163</v>
      </c>
      <c r="B167" s="24">
        <f t="shared" si="7"/>
        <v>44359</v>
      </c>
      <c r="C167" s="19" t="str" cm="1">
        <f t="array" ref="C167">IFERROR(_xlfn.IFS(WEEKDAY(B167-1)=1,"월",WEEKDAY(B167-1)=2,"화",WEEKDAY(B167-1)=3,"수",WEEKDAY(B167-1)=4,"목",WEEKDAY(B167-1)=5,"금",WEEKDAY(B167-1)=6,"토",WEEKDAY(B167-1)=7,"일"),"")</f>
        <v>토</v>
      </c>
      <c r="D167" s="19" t="str">
        <f t="shared" si="8"/>
        <v>Y</v>
      </c>
    </row>
    <row r="168" spans="1:4" x14ac:dyDescent="0.3">
      <c r="A168" s="18">
        <f t="shared" si="6"/>
        <v>164</v>
      </c>
      <c r="B168" s="24">
        <f t="shared" si="7"/>
        <v>44360</v>
      </c>
      <c r="C168" s="19" t="str" cm="1">
        <f t="array" ref="C168">IFERROR(_xlfn.IFS(WEEKDAY(B168-1)=1,"월",WEEKDAY(B168-1)=2,"화",WEEKDAY(B168-1)=3,"수",WEEKDAY(B168-1)=4,"목",WEEKDAY(B168-1)=5,"금",WEEKDAY(B168-1)=6,"토",WEEKDAY(B168-1)=7,"일"),"")</f>
        <v>일</v>
      </c>
      <c r="D168" s="19" t="str">
        <f t="shared" si="8"/>
        <v>Y</v>
      </c>
    </row>
    <row r="169" spans="1:4" x14ac:dyDescent="0.3">
      <c r="A169" s="18">
        <f t="shared" si="6"/>
        <v>165</v>
      </c>
      <c r="B169" s="24">
        <f t="shared" si="7"/>
        <v>44361</v>
      </c>
      <c r="C169" s="19" t="str" cm="1">
        <f t="array" ref="C169">IFERROR(_xlfn.IFS(WEEKDAY(B169-1)=1,"월",WEEKDAY(B169-1)=2,"화",WEEKDAY(B169-1)=3,"수",WEEKDAY(B169-1)=4,"목",WEEKDAY(B169-1)=5,"금",WEEKDAY(B169-1)=6,"토",WEEKDAY(B169-1)=7,"일"),"")</f>
        <v>월</v>
      </c>
      <c r="D169" s="19" t="str">
        <f t="shared" si="8"/>
        <v/>
      </c>
    </row>
    <row r="170" spans="1:4" x14ac:dyDescent="0.3">
      <c r="A170" s="18">
        <f t="shared" si="6"/>
        <v>166</v>
      </c>
      <c r="B170" s="24">
        <f t="shared" si="7"/>
        <v>44362</v>
      </c>
      <c r="C170" s="19" t="str" cm="1">
        <f t="array" ref="C170">IFERROR(_xlfn.IFS(WEEKDAY(B170-1)=1,"월",WEEKDAY(B170-1)=2,"화",WEEKDAY(B170-1)=3,"수",WEEKDAY(B170-1)=4,"목",WEEKDAY(B170-1)=5,"금",WEEKDAY(B170-1)=6,"토",WEEKDAY(B170-1)=7,"일"),"")</f>
        <v>화</v>
      </c>
      <c r="D170" s="19" t="str">
        <f t="shared" si="8"/>
        <v/>
      </c>
    </row>
    <row r="171" spans="1:4" x14ac:dyDescent="0.3">
      <c r="A171" s="18">
        <f t="shared" si="6"/>
        <v>167</v>
      </c>
      <c r="B171" s="24">
        <f t="shared" si="7"/>
        <v>44363</v>
      </c>
      <c r="C171" s="19" t="str" cm="1">
        <f t="array" ref="C171">IFERROR(_xlfn.IFS(WEEKDAY(B171-1)=1,"월",WEEKDAY(B171-1)=2,"화",WEEKDAY(B171-1)=3,"수",WEEKDAY(B171-1)=4,"목",WEEKDAY(B171-1)=5,"금",WEEKDAY(B171-1)=6,"토",WEEKDAY(B171-1)=7,"일"),"")</f>
        <v>수</v>
      </c>
      <c r="D171" s="19" t="str">
        <f t="shared" si="8"/>
        <v/>
      </c>
    </row>
    <row r="172" spans="1:4" x14ac:dyDescent="0.3">
      <c r="A172" s="18">
        <f t="shared" si="6"/>
        <v>168</v>
      </c>
      <c r="B172" s="24">
        <f t="shared" si="7"/>
        <v>44364</v>
      </c>
      <c r="C172" s="19" t="str" cm="1">
        <f t="array" ref="C172">IFERROR(_xlfn.IFS(WEEKDAY(B172-1)=1,"월",WEEKDAY(B172-1)=2,"화",WEEKDAY(B172-1)=3,"수",WEEKDAY(B172-1)=4,"목",WEEKDAY(B172-1)=5,"금",WEEKDAY(B172-1)=6,"토",WEEKDAY(B172-1)=7,"일"),"")</f>
        <v>목</v>
      </c>
      <c r="D172" s="19" t="str">
        <f t="shared" si="8"/>
        <v/>
      </c>
    </row>
    <row r="173" spans="1:4" x14ac:dyDescent="0.3">
      <c r="A173" s="18">
        <f t="shared" si="6"/>
        <v>169</v>
      </c>
      <c r="B173" s="24">
        <f t="shared" si="7"/>
        <v>44365</v>
      </c>
      <c r="C173" s="19" t="str" cm="1">
        <f t="array" ref="C173">IFERROR(_xlfn.IFS(WEEKDAY(B173-1)=1,"월",WEEKDAY(B173-1)=2,"화",WEEKDAY(B173-1)=3,"수",WEEKDAY(B173-1)=4,"목",WEEKDAY(B173-1)=5,"금",WEEKDAY(B173-1)=6,"토",WEEKDAY(B173-1)=7,"일"),"")</f>
        <v>금</v>
      </c>
      <c r="D173" s="19" t="str">
        <f t="shared" si="8"/>
        <v/>
      </c>
    </row>
    <row r="174" spans="1:4" x14ac:dyDescent="0.3">
      <c r="A174" s="18">
        <f t="shared" si="6"/>
        <v>170</v>
      </c>
      <c r="B174" s="24">
        <f t="shared" si="7"/>
        <v>44366</v>
      </c>
      <c r="C174" s="19" t="str" cm="1">
        <f t="array" ref="C174">IFERROR(_xlfn.IFS(WEEKDAY(B174-1)=1,"월",WEEKDAY(B174-1)=2,"화",WEEKDAY(B174-1)=3,"수",WEEKDAY(B174-1)=4,"목",WEEKDAY(B174-1)=5,"금",WEEKDAY(B174-1)=6,"토",WEEKDAY(B174-1)=7,"일"),"")</f>
        <v>토</v>
      </c>
      <c r="D174" s="19" t="str">
        <f t="shared" si="8"/>
        <v>Y</v>
      </c>
    </row>
    <row r="175" spans="1:4" x14ac:dyDescent="0.3">
      <c r="A175" s="18">
        <f t="shared" si="6"/>
        <v>171</v>
      </c>
      <c r="B175" s="24">
        <f t="shared" si="7"/>
        <v>44367</v>
      </c>
      <c r="C175" s="19" t="str" cm="1">
        <f t="array" ref="C175">IFERROR(_xlfn.IFS(WEEKDAY(B175-1)=1,"월",WEEKDAY(B175-1)=2,"화",WEEKDAY(B175-1)=3,"수",WEEKDAY(B175-1)=4,"목",WEEKDAY(B175-1)=5,"금",WEEKDAY(B175-1)=6,"토",WEEKDAY(B175-1)=7,"일"),"")</f>
        <v>일</v>
      </c>
      <c r="D175" s="19" t="str">
        <f t="shared" si="8"/>
        <v>Y</v>
      </c>
    </row>
    <row r="176" spans="1:4" x14ac:dyDescent="0.3">
      <c r="A176" s="18">
        <f t="shared" si="6"/>
        <v>172</v>
      </c>
      <c r="B176" s="24">
        <f t="shared" si="7"/>
        <v>44368</v>
      </c>
      <c r="C176" s="19" t="str" cm="1">
        <f t="array" ref="C176">IFERROR(_xlfn.IFS(WEEKDAY(B176-1)=1,"월",WEEKDAY(B176-1)=2,"화",WEEKDAY(B176-1)=3,"수",WEEKDAY(B176-1)=4,"목",WEEKDAY(B176-1)=5,"금",WEEKDAY(B176-1)=6,"토",WEEKDAY(B176-1)=7,"일"),"")</f>
        <v>월</v>
      </c>
      <c r="D176" s="19" t="str">
        <f t="shared" si="8"/>
        <v/>
      </c>
    </row>
    <row r="177" spans="1:4" x14ac:dyDescent="0.3">
      <c r="A177" s="18">
        <f t="shared" si="6"/>
        <v>173</v>
      </c>
      <c r="B177" s="24">
        <f t="shared" si="7"/>
        <v>44369</v>
      </c>
      <c r="C177" s="19" t="str" cm="1">
        <f t="array" ref="C177">IFERROR(_xlfn.IFS(WEEKDAY(B177-1)=1,"월",WEEKDAY(B177-1)=2,"화",WEEKDAY(B177-1)=3,"수",WEEKDAY(B177-1)=4,"목",WEEKDAY(B177-1)=5,"금",WEEKDAY(B177-1)=6,"토",WEEKDAY(B177-1)=7,"일"),"")</f>
        <v>화</v>
      </c>
      <c r="D177" s="19" t="str">
        <f t="shared" si="8"/>
        <v/>
      </c>
    </row>
    <row r="178" spans="1:4" x14ac:dyDescent="0.3">
      <c r="A178" s="18">
        <f t="shared" si="6"/>
        <v>174</v>
      </c>
      <c r="B178" s="24">
        <f t="shared" si="7"/>
        <v>44370</v>
      </c>
      <c r="C178" s="19" t="str" cm="1">
        <f t="array" ref="C178">IFERROR(_xlfn.IFS(WEEKDAY(B178-1)=1,"월",WEEKDAY(B178-1)=2,"화",WEEKDAY(B178-1)=3,"수",WEEKDAY(B178-1)=4,"목",WEEKDAY(B178-1)=5,"금",WEEKDAY(B178-1)=6,"토",WEEKDAY(B178-1)=7,"일"),"")</f>
        <v>수</v>
      </c>
      <c r="D178" s="19" t="str">
        <f t="shared" si="8"/>
        <v/>
      </c>
    </row>
    <row r="179" spans="1:4" x14ac:dyDescent="0.3">
      <c r="A179" s="18">
        <f t="shared" si="6"/>
        <v>175</v>
      </c>
      <c r="B179" s="24">
        <f t="shared" si="7"/>
        <v>44371</v>
      </c>
      <c r="C179" s="19" t="str" cm="1">
        <f t="array" ref="C179">IFERROR(_xlfn.IFS(WEEKDAY(B179-1)=1,"월",WEEKDAY(B179-1)=2,"화",WEEKDAY(B179-1)=3,"수",WEEKDAY(B179-1)=4,"목",WEEKDAY(B179-1)=5,"금",WEEKDAY(B179-1)=6,"토",WEEKDAY(B179-1)=7,"일"),"")</f>
        <v>목</v>
      </c>
      <c r="D179" s="19" t="str">
        <f t="shared" si="8"/>
        <v/>
      </c>
    </row>
    <row r="180" spans="1:4" x14ac:dyDescent="0.3">
      <c r="A180" s="18">
        <f t="shared" si="6"/>
        <v>176</v>
      </c>
      <c r="B180" s="24">
        <f t="shared" si="7"/>
        <v>44372</v>
      </c>
      <c r="C180" s="19" t="str" cm="1">
        <f t="array" ref="C180">IFERROR(_xlfn.IFS(WEEKDAY(B180-1)=1,"월",WEEKDAY(B180-1)=2,"화",WEEKDAY(B180-1)=3,"수",WEEKDAY(B180-1)=4,"목",WEEKDAY(B180-1)=5,"금",WEEKDAY(B180-1)=6,"토",WEEKDAY(B180-1)=7,"일"),"")</f>
        <v>금</v>
      </c>
      <c r="D180" s="19" t="str">
        <f t="shared" si="8"/>
        <v/>
      </c>
    </row>
    <row r="181" spans="1:4" x14ac:dyDescent="0.3">
      <c r="A181" s="18">
        <f t="shared" si="6"/>
        <v>177</v>
      </c>
      <c r="B181" s="24">
        <f t="shared" si="7"/>
        <v>44373</v>
      </c>
      <c r="C181" s="19" t="str" cm="1">
        <f t="array" ref="C181">IFERROR(_xlfn.IFS(WEEKDAY(B181-1)=1,"월",WEEKDAY(B181-1)=2,"화",WEEKDAY(B181-1)=3,"수",WEEKDAY(B181-1)=4,"목",WEEKDAY(B181-1)=5,"금",WEEKDAY(B181-1)=6,"토",WEEKDAY(B181-1)=7,"일"),"")</f>
        <v>토</v>
      </c>
      <c r="D181" s="19" t="str">
        <f t="shared" si="8"/>
        <v>Y</v>
      </c>
    </row>
    <row r="182" spans="1:4" x14ac:dyDescent="0.3">
      <c r="A182" s="18">
        <f t="shared" si="6"/>
        <v>178</v>
      </c>
      <c r="B182" s="24">
        <f t="shared" si="7"/>
        <v>44374</v>
      </c>
      <c r="C182" s="19" t="str" cm="1">
        <f t="array" ref="C182">IFERROR(_xlfn.IFS(WEEKDAY(B182-1)=1,"월",WEEKDAY(B182-1)=2,"화",WEEKDAY(B182-1)=3,"수",WEEKDAY(B182-1)=4,"목",WEEKDAY(B182-1)=5,"금",WEEKDAY(B182-1)=6,"토",WEEKDAY(B182-1)=7,"일"),"")</f>
        <v>일</v>
      </c>
      <c r="D182" s="19" t="str">
        <f t="shared" si="8"/>
        <v>Y</v>
      </c>
    </row>
    <row r="183" spans="1:4" x14ac:dyDescent="0.3">
      <c r="A183" s="18">
        <f t="shared" si="6"/>
        <v>179</v>
      </c>
      <c r="B183" s="24">
        <f t="shared" si="7"/>
        <v>44375</v>
      </c>
      <c r="C183" s="19" t="str" cm="1">
        <f t="array" ref="C183">IFERROR(_xlfn.IFS(WEEKDAY(B183-1)=1,"월",WEEKDAY(B183-1)=2,"화",WEEKDAY(B183-1)=3,"수",WEEKDAY(B183-1)=4,"목",WEEKDAY(B183-1)=5,"금",WEEKDAY(B183-1)=6,"토",WEEKDAY(B183-1)=7,"일"),"")</f>
        <v>월</v>
      </c>
      <c r="D183" s="19" t="str">
        <f t="shared" si="8"/>
        <v/>
      </c>
    </row>
    <row r="184" spans="1:4" x14ac:dyDescent="0.3">
      <c r="A184" s="18">
        <f t="shared" si="6"/>
        <v>180</v>
      </c>
      <c r="B184" s="24">
        <f t="shared" si="7"/>
        <v>44376</v>
      </c>
      <c r="C184" s="19" t="str" cm="1">
        <f t="array" ref="C184">IFERROR(_xlfn.IFS(WEEKDAY(B184-1)=1,"월",WEEKDAY(B184-1)=2,"화",WEEKDAY(B184-1)=3,"수",WEEKDAY(B184-1)=4,"목",WEEKDAY(B184-1)=5,"금",WEEKDAY(B184-1)=6,"토",WEEKDAY(B184-1)=7,"일"),"")</f>
        <v>화</v>
      </c>
      <c r="D184" s="19" t="str">
        <f t="shared" si="8"/>
        <v/>
      </c>
    </row>
    <row r="185" spans="1:4" x14ac:dyDescent="0.3">
      <c r="A185" s="18">
        <f t="shared" si="6"/>
        <v>181</v>
      </c>
      <c r="B185" s="24">
        <f t="shared" si="7"/>
        <v>44377</v>
      </c>
      <c r="C185" s="19" t="str" cm="1">
        <f t="array" ref="C185">IFERROR(_xlfn.IFS(WEEKDAY(B185-1)=1,"월",WEEKDAY(B185-1)=2,"화",WEEKDAY(B185-1)=3,"수",WEEKDAY(B185-1)=4,"목",WEEKDAY(B185-1)=5,"금",WEEKDAY(B185-1)=6,"토",WEEKDAY(B185-1)=7,"일"),"")</f>
        <v>수</v>
      </c>
      <c r="D185" s="19" t="str">
        <f t="shared" si="8"/>
        <v/>
      </c>
    </row>
    <row r="186" spans="1:4" x14ac:dyDescent="0.3">
      <c r="A186" s="18">
        <f t="shared" si="6"/>
        <v>182</v>
      </c>
      <c r="B186" s="24">
        <f t="shared" si="7"/>
        <v>44378</v>
      </c>
      <c r="C186" s="19" t="str" cm="1">
        <f t="array" ref="C186">IFERROR(_xlfn.IFS(WEEKDAY(B186-1)=1,"월",WEEKDAY(B186-1)=2,"화",WEEKDAY(B186-1)=3,"수",WEEKDAY(B186-1)=4,"목",WEEKDAY(B186-1)=5,"금",WEEKDAY(B186-1)=6,"토",WEEKDAY(B186-1)=7,"일"),"")</f>
        <v>목</v>
      </c>
      <c r="D186" s="19" t="str">
        <f t="shared" si="8"/>
        <v/>
      </c>
    </row>
    <row r="187" spans="1:4" x14ac:dyDescent="0.3">
      <c r="A187" s="18">
        <f t="shared" si="6"/>
        <v>183</v>
      </c>
      <c r="B187" s="24">
        <f t="shared" si="7"/>
        <v>44379</v>
      </c>
      <c r="C187" s="19" t="str" cm="1">
        <f t="array" ref="C187">IFERROR(_xlfn.IFS(WEEKDAY(B187-1)=1,"월",WEEKDAY(B187-1)=2,"화",WEEKDAY(B187-1)=3,"수",WEEKDAY(B187-1)=4,"목",WEEKDAY(B187-1)=5,"금",WEEKDAY(B187-1)=6,"토",WEEKDAY(B187-1)=7,"일"),"")</f>
        <v>금</v>
      </c>
      <c r="D187" s="19" t="str">
        <f t="shared" si="8"/>
        <v/>
      </c>
    </row>
    <row r="188" spans="1:4" x14ac:dyDescent="0.3">
      <c r="A188" s="18">
        <f t="shared" si="6"/>
        <v>184</v>
      </c>
      <c r="B188" s="24">
        <f t="shared" si="7"/>
        <v>44380</v>
      </c>
      <c r="C188" s="19" t="str" cm="1">
        <f t="array" ref="C188">IFERROR(_xlfn.IFS(WEEKDAY(B188-1)=1,"월",WEEKDAY(B188-1)=2,"화",WEEKDAY(B188-1)=3,"수",WEEKDAY(B188-1)=4,"목",WEEKDAY(B188-1)=5,"금",WEEKDAY(B188-1)=6,"토",WEEKDAY(B188-1)=7,"일"),"")</f>
        <v>토</v>
      </c>
      <c r="D188" s="19" t="str">
        <f t="shared" si="8"/>
        <v>Y</v>
      </c>
    </row>
    <row r="189" spans="1:4" x14ac:dyDescent="0.3">
      <c r="A189" s="18">
        <f t="shared" si="6"/>
        <v>185</v>
      </c>
      <c r="B189" s="24">
        <f t="shared" si="7"/>
        <v>44381</v>
      </c>
      <c r="C189" s="19" t="str" cm="1">
        <f t="array" ref="C189">IFERROR(_xlfn.IFS(WEEKDAY(B189-1)=1,"월",WEEKDAY(B189-1)=2,"화",WEEKDAY(B189-1)=3,"수",WEEKDAY(B189-1)=4,"목",WEEKDAY(B189-1)=5,"금",WEEKDAY(B189-1)=6,"토",WEEKDAY(B189-1)=7,"일"),"")</f>
        <v>일</v>
      </c>
      <c r="D189" s="19" t="str">
        <f t="shared" si="8"/>
        <v>Y</v>
      </c>
    </row>
    <row r="190" spans="1:4" x14ac:dyDescent="0.3">
      <c r="A190" s="18">
        <f t="shared" si="6"/>
        <v>186</v>
      </c>
      <c r="B190" s="24">
        <f t="shared" si="7"/>
        <v>44382</v>
      </c>
      <c r="C190" s="19" t="str" cm="1">
        <f t="array" ref="C190">IFERROR(_xlfn.IFS(WEEKDAY(B190-1)=1,"월",WEEKDAY(B190-1)=2,"화",WEEKDAY(B190-1)=3,"수",WEEKDAY(B190-1)=4,"목",WEEKDAY(B190-1)=5,"금",WEEKDAY(B190-1)=6,"토",WEEKDAY(B190-1)=7,"일"),"")</f>
        <v>월</v>
      </c>
      <c r="D190" s="19" t="str">
        <f t="shared" si="8"/>
        <v/>
      </c>
    </row>
    <row r="191" spans="1:4" x14ac:dyDescent="0.3">
      <c r="A191" s="18">
        <f t="shared" si="6"/>
        <v>187</v>
      </c>
      <c r="B191" s="24">
        <f t="shared" si="7"/>
        <v>44383</v>
      </c>
      <c r="C191" s="19" t="str" cm="1">
        <f t="array" ref="C191">IFERROR(_xlfn.IFS(WEEKDAY(B191-1)=1,"월",WEEKDAY(B191-1)=2,"화",WEEKDAY(B191-1)=3,"수",WEEKDAY(B191-1)=4,"목",WEEKDAY(B191-1)=5,"금",WEEKDAY(B191-1)=6,"토",WEEKDAY(B191-1)=7,"일"),"")</f>
        <v>화</v>
      </c>
      <c r="D191" s="19" t="str">
        <f t="shared" si="8"/>
        <v/>
      </c>
    </row>
    <row r="192" spans="1:4" x14ac:dyDescent="0.3">
      <c r="A192" s="18">
        <f t="shared" si="6"/>
        <v>188</v>
      </c>
      <c r="B192" s="24">
        <f t="shared" si="7"/>
        <v>44384</v>
      </c>
      <c r="C192" s="19" t="str" cm="1">
        <f t="array" ref="C192">IFERROR(_xlfn.IFS(WEEKDAY(B192-1)=1,"월",WEEKDAY(B192-1)=2,"화",WEEKDAY(B192-1)=3,"수",WEEKDAY(B192-1)=4,"목",WEEKDAY(B192-1)=5,"금",WEEKDAY(B192-1)=6,"토",WEEKDAY(B192-1)=7,"일"),"")</f>
        <v>수</v>
      </c>
      <c r="D192" s="19" t="str">
        <f t="shared" si="8"/>
        <v/>
      </c>
    </row>
    <row r="193" spans="1:4" x14ac:dyDescent="0.3">
      <c r="A193" s="18">
        <f t="shared" si="6"/>
        <v>189</v>
      </c>
      <c r="B193" s="24">
        <f t="shared" si="7"/>
        <v>44385</v>
      </c>
      <c r="C193" s="19" t="str" cm="1">
        <f t="array" ref="C193">IFERROR(_xlfn.IFS(WEEKDAY(B193-1)=1,"월",WEEKDAY(B193-1)=2,"화",WEEKDAY(B193-1)=3,"수",WEEKDAY(B193-1)=4,"목",WEEKDAY(B193-1)=5,"금",WEEKDAY(B193-1)=6,"토",WEEKDAY(B193-1)=7,"일"),"")</f>
        <v>목</v>
      </c>
      <c r="D193" s="19" t="str">
        <f t="shared" si="8"/>
        <v/>
      </c>
    </row>
    <row r="194" spans="1:4" x14ac:dyDescent="0.3">
      <c r="A194" s="18">
        <f t="shared" si="6"/>
        <v>190</v>
      </c>
      <c r="B194" s="24">
        <f t="shared" si="7"/>
        <v>44386</v>
      </c>
      <c r="C194" s="19" t="str" cm="1">
        <f t="array" ref="C194">IFERROR(_xlfn.IFS(WEEKDAY(B194-1)=1,"월",WEEKDAY(B194-1)=2,"화",WEEKDAY(B194-1)=3,"수",WEEKDAY(B194-1)=4,"목",WEEKDAY(B194-1)=5,"금",WEEKDAY(B194-1)=6,"토",WEEKDAY(B194-1)=7,"일"),"")</f>
        <v>금</v>
      </c>
      <c r="D194" s="19" t="str">
        <f t="shared" si="8"/>
        <v/>
      </c>
    </row>
    <row r="195" spans="1:4" x14ac:dyDescent="0.3">
      <c r="A195" s="18">
        <f t="shared" si="6"/>
        <v>191</v>
      </c>
      <c r="B195" s="24">
        <f t="shared" si="7"/>
        <v>44387</v>
      </c>
      <c r="C195" s="19" t="str" cm="1">
        <f t="array" ref="C195">IFERROR(_xlfn.IFS(WEEKDAY(B195-1)=1,"월",WEEKDAY(B195-1)=2,"화",WEEKDAY(B195-1)=3,"수",WEEKDAY(B195-1)=4,"목",WEEKDAY(B195-1)=5,"금",WEEKDAY(B195-1)=6,"토",WEEKDAY(B195-1)=7,"일"),"")</f>
        <v>토</v>
      </c>
      <c r="D195" s="19" t="str">
        <f t="shared" si="8"/>
        <v>Y</v>
      </c>
    </row>
    <row r="196" spans="1:4" x14ac:dyDescent="0.3">
      <c r="A196" s="18">
        <f t="shared" si="6"/>
        <v>192</v>
      </c>
      <c r="B196" s="24">
        <f t="shared" si="7"/>
        <v>44388</v>
      </c>
      <c r="C196" s="19" t="str" cm="1">
        <f t="array" ref="C196">IFERROR(_xlfn.IFS(WEEKDAY(B196-1)=1,"월",WEEKDAY(B196-1)=2,"화",WEEKDAY(B196-1)=3,"수",WEEKDAY(B196-1)=4,"목",WEEKDAY(B196-1)=5,"금",WEEKDAY(B196-1)=6,"토",WEEKDAY(B196-1)=7,"일"),"")</f>
        <v>일</v>
      </c>
      <c r="D196" s="19" t="str">
        <f t="shared" si="8"/>
        <v>Y</v>
      </c>
    </row>
    <row r="197" spans="1:4" x14ac:dyDescent="0.3">
      <c r="A197" s="18">
        <f t="shared" si="6"/>
        <v>193</v>
      </c>
      <c r="B197" s="24">
        <f t="shared" si="7"/>
        <v>44389</v>
      </c>
      <c r="C197" s="19" t="str" cm="1">
        <f t="array" ref="C197">IFERROR(_xlfn.IFS(WEEKDAY(B197-1)=1,"월",WEEKDAY(B197-1)=2,"화",WEEKDAY(B197-1)=3,"수",WEEKDAY(B197-1)=4,"목",WEEKDAY(B197-1)=5,"금",WEEKDAY(B197-1)=6,"토",WEEKDAY(B197-1)=7,"일"),"")</f>
        <v>월</v>
      </c>
      <c r="D197" s="19" t="str">
        <f t="shared" si="8"/>
        <v/>
      </c>
    </row>
    <row r="198" spans="1:4" x14ac:dyDescent="0.3">
      <c r="A198" s="18">
        <f t="shared" ref="A198:A261" si="9">IFERROR(IF(ROW()-COUNTA($A$1:$A$4)&lt;=$B$2,ROW()-COUNTA($A$1:$A$4),""),"")</f>
        <v>194</v>
      </c>
      <c r="B198" s="24">
        <f t="shared" ref="B198:B261" si="10">IFERROR(DATE($B$1,1,A198), "")</f>
        <v>44390</v>
      </c>
      <c r="C198" s="19" t="str" cm="1">
        <f t="array" ref="C198">IFERROR(_xlfn.IFS(WEEKDAY(B198-1)=1,"월",WEEKDAY(B198-1)=2,"화",WEEKDAY(B198-1)=3,"수",WEEKDAY(B198-1)=4,"목",WEEKDAY(B198-1)=5,"금",WEEKDAY(B198-1)=6,"토",WEEKDAY(B198-1)=7,"일"),"")</f>
        <v>화</v>
      </c>
      <c r="D198" s="19" t="str">
        <f t="shared" ref="D198:D261" si="11">IFERROR(IF(OR(WEEKDAY(B198-1)=6,WEEKDAY(B198-1)=7), "Y", ""),"")</f>
        <v/>
      </c>
    </row>
    <row r="199" spans="1:4" x14ac:dyDescent="0.3">
      <c r="A199" s="18">
        <f t="shared" si="9"/>
        <v>195</v>
      </c>
      <c r="B199" s="24">
        <f t="shared" si="10"/>
        <v>44391</v>
      </c>
      <c r="C199" s="19" t="str" cm="1">
        <f t="array" ref="C199">IFERROR(_xlfn.IFS(WEEKDAY(B199-1)=1,"월",WEEKDAY(B199-1)=2,"화",WEEKDAY(B199-1)=3,"수",WEEKDAY(B199-1)=4,"목",WEEKDAY(B199-1)=5,"금",WEEKDAY(B199-1)=6,"토",WEEKDAY(B199-1)=7,"일"),"")</f>
        <v>수</v>
      </c>
      <c r="D199" s="19" t="str">
        <f t="shared" si="11"/>
        <v/>
      </c>
    </row>
    <row r="200" spans="1:4" x14ac:dyDescent="0.3">
      <c r="A200" s="18">
        <f t="shared" si="9"/>
        <v>196</v>
      </c>
      <c r="B200" s="24">
        <f t="shared" si="10"/>
        <v>44392</v>
      </c>
      <c r="C200" s="19" t="str" cm="1">
        <f t="array" ref="C200">IFERROR(_xlfn.IFS(WEEKDAY(B200-1)=1,"월",WEEKDAY(B200-1)=2,"화",WEEKDAY(B200-1)=3,"수",WEEKDAY(B200-1)=4,"목",WEEKDAY(B200-1)=5,"금",WEEKDAY(B200-1)=6,"토",WEEKDAY(B200-1)=7,"일"),"")</f>
        <v>목</v>
      </c>
      <c r="D200" s="19" t="str">
        <f t="shared" si="11"/>
        <v/>
      </c>
    </row>
    <row r="201" spans="1:4" x14ac:dyDescent="0.3">
      <c r="A201" s="18">
        <f t="shared" si="9"/>
        <v>197</v>
      </c>
      <c r="B201" s="24">
        <f t="shared" si="10"/>
        <v>44393</v>
      </c>
      <c r="C201" s="19" t="str" cm="1">
        <f t="array" ref="C201">IFERROR(_xlfn.IFS(WEEKDAY(B201-1)=1,"월",WEEKDAY(B201-1)=2,"화",WEEKDAY(B201-1)=3,"수",WEEKDAY(B201-1)=4,"목",WEEKDAY(B201-1)=5,"금",WEEKDAY(B201-1)=6,"토",WEEKDAY(B201-1)=7,"일"),"")</f>
        <v>금</v>
      </c>
      <c r="D201" s="19" t="str">
        <f t="shared" si="11"/>
        <v/>
      </c>
    </row>
    <row r="202" spans="1:4" x14ac:dyDescent="0.3">
      <c r="A202" s="18">
        <f t="shared" si="9"/>
        <v>198</v>
      </c>
      <c r="B202" s="24">
        <f t="shared" si="10"/>
        <v>44394</v>
      </c>
      <c r="C202" s="19" t="str" cm="1">
        <f t="array" ref="C202">IFERROR(_xlfn.IFS(WEEKDAY(B202-1)=1,"월",WEEKDAY(B202-1)=2,"화",WEEKDAY(B202-1)=3,"수",WEEKDAY(B202-1)=4,"목",WEEKDAY(B202-1)=5,"금",WEEKDAY(B202-1)=6,"토",WEEKDAY(B202-1)=7,"일"),"")</f>
        <v>토</v>
      </c>
      <c r="D202" s="19" t="str">
        <f t="shared" si="11"/>
        <v>Y</v>
      </c>
    </row>
    <row r="203" spans="1:4" x14ac:dyDescent="0.3">
      <c r="A203" s="18">
        <f t="shared" si="9"/>
        <v>199</v>
      </c>
      <c r="B203" s="24">
        <f t="shared" si="10"/>
        <v>44395</v>
      </c>
      <c r="C203" s="19" t="str" cm="1">
        <f t="array" ref="C203">IFERROR(_xlfn.IFS(WEEKDAY(B203-1)=1,"월",WEEKDAY(B203-1)=2,"화",WEEKDAY(B203-1)=3,"수",WEEKDAY(B203-1)=4,"목",WEEKDAY(B203-1)=5,"금",WEEKDAY(B203-1)=6,"토",WEEKDAY(B203-1)=7,"일"),"")</f>
        <v>일</v>
      </c>
      <c r="D203" s="19" t="str">
        <f t="shared" si="11"/>
        <v>Y</v>
      </c>
    </row>
    <row r="204" spans="1:4" x14ac:dyDescent="0.3">
      <c r="A204" s="18">
        <f t="shared" si="9"/>
        <v>200</v>
      </c>
      <c r="B204" s="24">
        <f t="shared" si="10"/>
        <v>44396</v>
      </c>
      <c r="C204" s="19" t="str" cm="1">
        <f t="array" ref="C204">IFERROR(_xlfn.IFS(WEEKDAY(B204-1)=1,"월",WEEKDAY(B204-1)=2,"화",WEEKDAY(B204-1)=3,"수",WEEKDAY(B204-1)=4,"목",WEEKDAY(B204-1)=5,"금",WEEKDAY(B204-1)=6,"토",WEEKDAY(B204-1)=7,"일"),"")</f>
        <v>월</v>
      </c>
      <c r="D204" s="19" t="str">
        <f t="shared" si="11"/>
        <v/>
      </c>
    </row>
    <row r="205" spans="1:4" x14ac:dyDescent="0.3">
      <c r="A205" s="18">
        <f t="shared" si="9"/>
        <v>201</v>
      </c>
      <c r="B205" s="24">
        <f t="shared" si="10"/>
        <v>44397</v>
      </c>
      <c r="C205" s="19" t="str" cm="1">
        <f t="array" ref="C205">IFERROR(_xlfn.IFS(WEEKDAY(B205-1)=1,"월",WEEKDAY(B205-1)=2,"화",WEEKDAY(B205-1)=3,"수",WEEKDAY(B205-1)=4,"목",WEEKDAY(B205-1)=5,"금",WEEKDAY(B205-1)=6,"토",WEEKDAY(B205-1)=7,"일"),"")</f>
        <v>화</v>
      </c>
      <c r="D205" s="19" t="str">
        <f t="shared" si="11"/>
        <v/>
      </c>
    </row>
    <row r="206" spans="1:4" x14ac:dyDescent="0.3">
      <c r="A206" s="18">
        <f t="shared" si="9"/>
        <v>202</v>
      </c>
      <c r="B206" s="24">
        <f t="shared" si="10"/>
        <v>44398</v>
      </c>
      <c r="C206" s="19" t="str" cm="1">
        <f t="array" ref="C206">IFERROR(_xlfn.IFS(WEEKDAY(B206-1)=1,"월",WEEKDAY(B206-1)=2,"화",WEEKDAY(B206-1)=3,"수",WEEKDAY(B206-1)=4,"목",WEEKDAY(B206-1)=5,"금",WEEKDAY(B206-1)=6,"토",WEEKDAY(B206-1)=7,"일"),"")</f>
        <v>수</v>
      </c>
      <c r="D206" s="19" t="str">
        <f t="shared" si="11"/>
        <v/>
      </c>
    </row>
    <row r="207" spans="1:4" x14ac:dyDescent="0.3">
      <c r="A207" s="18">
        <f t="shared" si="9"/>
        <v>203</v>
      </c>
      <c r="B207" s="24">
        <f t="shared" si="10"/>
        <v>44399</v>
      </c>
      <c r="C207" s="19" t="str" cm="1">
        <f t="array" ref="C207">IFERROR(_xlfn.IFS(WEEKDAY(B207-1)=1,"월",WEEKDAY(B207-1)=2,"화",WEEKDAY(B207-1)=3,"수",WEEKDAY(B207-1)=4,"목",WEEKDAY(B207-1)=5,"금",WEEKDAY(B207-1)=6,"토",WEEKDAY(B207-1)=7,"일"),"")</f>
        <v>목</v>
      </c>
      <c r="D207" s="19" t="str">
        <f t="shared" si="11"/>
        <v/>
      </c>
    </row>
    <row r="208" spans="1:4" x14ac:dyDescent="0.3">
      <c r="A208" s="18">
        <f t="shared" si="9"/>
        <v>204</v>
      </c>
      <c r="B208" s="24">
        <f t="shared" si="10"/>
        <v>44400</v>
      </c>
      <c r="C208" s="19" t="str" cm="1">
        <f t="array" ref="C208">IFERROR(_xlfn.IFS(WEEKDAY(B208-1)=1,"월",WEEKDAY(B208-1)=2,"화",WEEKDAY(B208-1)=3,"수",WEEKDAY(B208-1)=4,"목",WEEKDAY(B208-1)=5,"금",WEEKDAY(B208-1)=6,"토",WEEKDAY(B208-1)=7,"일"),"")</f>
        <v>금</v>
      </c>
      <c r="D208" s="19" t="str">
        <f t="shared" si="11"/>
        <v/>
      </c>
    </row>
    <row r="209" spans="1:4" x14ac:dyDescent="0.3">
      <c r="A209" s="18">
        <f t="shared" si="9"/>
        <v>205</v>
      </c>
      <c r="B209" s="24">
        <f t="shared" si="10"/>
        <v>44401</v>
      </c>
      <c r="C209" s="19" t="str" cm="1">
        <f t="array" ref="C209">IFERROR(_xlfn.IFS(WEEKDAY(B209-1)=1,"월",WEEKDAY(B209-1)=2,"화",WEEKDAY(B209-1)=3,"수",WEEKDAY(B209-1)=4,"목",WEEKDAY(B209-1)=5,"금",WEEKDAY(B209-1)=6,"토",WEEKDAY(B209-1)=7,"일"),"")</f>
        <v>토</v>
      </c>
      <c r="D209" s="19" t="str">
        <f t="shared" si="11"/>
        <v>Y</v>
      </c>
    </row>
    <row r="210" spans="1:4" x14ac:dyDescent="0.3">
      <c r="A210" s="18">
        <f t="shared" si="9"/>
        <v>206</v>
      </c>
      <c r="B210" s="24">
        <f t="shared" si="10"/>
        <v>44402</v>
      </c>
      <c r="C210" s="19" t="str" cm="1">
        <f t="array" ref="C210">IFERROR(_xlfn.IFS(WEEKDAY(B210-1)=1,"월",WEEKDAY(B210-1)=2,"화",WEEKDAY(B210-1)=3,"수",WEEKDAY(B210-1)=4,"목",WEEKDAY(B210-1)=5,"금",WEEKDAY(B210-1)=6,"토",WEEKDAY(B210-1)=7,"일"),"")</f>
        <v>일</v>
      </c>
      <c r="D210" s="19" t="str">
        <f t="shared" si="11"/>
        <v>Y</v>
      </c>
    </row>
    <row r="211" spans="1:4" x14ac:dyDescent="0.3">
      <c r="A211" s="18">
        <f t="shared" si="9"/>
        <v>207</v>
      </c>
      <c r="B211" s="24">
        <f t="shared" si="10"/>
        <v>44403</v>
      </c>
      <c r="C211" s="19" t="str" cm="1">
        <f t="array" ref="C211">IFERROR(_xlfn.IFS(WEEKDAY(B211-1)=1,"월",WEEKDAY(B211-1)=2,"화",WEEKDAY(B211-1)=3,"수",WEEKDAY(B211-1)=4,"목",WEEKDAY(B211-1)=5,"금",WEEKDAY(B211-1)=6,"토",WEEKDAY(B211-1)=7,"일"),"")</f>
        <v>월</v>
      </c>
      <c r="D211" s="19" t="str">
        <f t="shared" si="11"/>
        <v/>
      </c>
    </row>
    <row r="212" spans="1:4" x14ac:dyDescent="0.3">
      <c r="A212" s="18">
        <f t="shared" si="9"/>
        <v>208</v>
      </c>
      <c r="B212" s="24">
        <f t="shared" si="10"/>
        <v>44404</v>
      </c>
      <c r="C212" s="19" t="str" cm="1">
        <f t="array" ref="C212">IFERROR(_xlfn.IFS(WEEKDAY(B212-1)=1,"월",WEEKDAY(B212-1)=2,"화",WEEKDAY(B212-1)=3,"수",WEEKDAY(B212-1)=4,"목",WEEKDAY(B212-1)=5,"금",WEEKDAY(B212-1)=6,"토",WEEKDAY(B212-1)=7,"일"),"")</f>
        <v>화</v>
      </c>
      <c r="D212" s="19" t="str">
        <f t="shared" si="11"/>
        <v/>
      </c>
    </row>
    <row r="213" spans="1:4" x14ac:dyDescent="0.3">
      <c r="A213" s="18">
        <f t="shared" si="9"/>
        <v>209</v>
      </c>
      <c r="B213" s="24">
        <f t="shared" si="10"/>
        <v>44405</v>
      </c>
      <c r="C213" s="19" t="str" cm="1">
        <f t="array" ref="C213">IFERROR(_xlfn.IFS(WEEKDAY(B213-1)=1,"월",WEEKDAY(B213-1)=2,"화",WEEKDAY(B213-1)=3,"수",WEEKDAY(B213-1)=4,"목",WEEKDAY(B213-1)=5,"금",WEEKDAY(B213-1)=6,"토",WEEKDAY(B213-1)=7,"일"),"")</f>
        <v>수</v>
      </c>
      <c r="D213" s="19" t="str">
        <f t="shared" si="11"/>
        <v/>
      </c>
    </row>
    <row r="214" spans="1:4" x14ac:dyDescent="0.3">
      <c r="A214" s="18">
        <f t="shared" si="9"/>
        <v>210</v>
      </c>
      <c r="B214" s="24">
        <f t="shared" si="10"/>
        <v>44406</v>
      </c>
      <c r="C214" s="19" t="str" cm="1">
        <f t="array" ref="C214">IFERROR(_xlfn.IFS(WEEKDAY(B214-1)=1,"월",WEEKDAY(B214-1)=2,"화",WEEKDAY(B214-1)=3,"수",WEEKDAY(B214-1)=4,"목",WEEKDAY(B214-1)=5,"금",WEEKDAY(B214-1)=6,"토",WEEKDAY(B214-1)=7,"일"),"")</f>
        <v>목</v>
      </c>
      <c r="D214" s="19" t="str">
        <f t="shared" si="11"/>
        <v/>
      </c>
    </row>
    <row r="215" spans="1:4" x14ac:dyDescent="0.3">
      <c r="A215" s="18">
        <f t="shared" si="9"/>
        <v>211</v>
      </c>
      <c r="B215" s="24">
        <f t="shared" si="10"/>
        <v>44407</v>
      </c>
      <c r="C215" s="19" t="str" cm="1">
        <f t="array" ref="C215">IFERROR(_xlfn.IFS(WEEKDAY(B215-1)=1,"월",WEEKDAY(B215-1)=2,"화",WEEKDAY(B215-1)=3,"수",WEEKDAY(B215-1)=4,"목",WEEKDAY(B215-1)=5,"금",WEEKDAY(B215-1)=6,"토",WEEKDAY(B215-1)=7,"일"),"")</f>
        <v>금</v>
      </c>
      <c r="D215" s="19" t="str">
        <f t="shared" si="11"/>
        <v/>
      </c>
    </row>
    <row r="216" spans="1:4" x14ac:dyDescent="0.3">
      <c r="A216" s="18">
        <f t="shared" si="9"/>
        <v>212</v>
      </c>
      <c r="B216" s="24">
        <f t="shared" si="10"/>
        <v>44408</v>
      </c>
      <c r="C216" s="19" t="str" cm="1">
        <f t="array" ref="C216">IFERROR(_xlfn.IFS(WEEKDAY(B216-1)=1,"월",WEEKDAY(B216-1)=2,"화",WEEKDAY(B216-1)=3,"수",WEEKDAY(B216-1)=4,"목",WEEKDAY(B216-1)=5,"금",WEEKDAY(B216-1)=6,"토",WEEKDAY(B216-1)=7,"일"),"")</f>
        <v>토</v>
      </c>
      <c r="D216" s="19" t="str">
        <f t="shared" si="11"/>
        <v>Y</v>
      </c>
    </row>
    <row r="217" spans="1:4" x14ac:dyDescent="0.3">
      <c r="A217" s="18">
        <f t="shared" si="9"/>
        <v>213</v>
      </c>
      <c r="B217" s="24">
        <f t="shared" si="10"/>
        <v>44409</v>
      </c>
      <c r="C217" s="19" t="str" cm="1">
        <f t="array" ref="C217">IFERROR(_xlfn.IFS(WEEKDAY(B217-1)=1,"월",WEEKDAY(B217-1)=2,"화",WEEKDAY(B217-1)=3,"수",WEEKDAY(B217-1)=4,"목",WEEKDAY(B217-1)=5,"금",WEEKDAY(B217-1)=6,"토",WEEKDAY(B217-1)=7,"일"),"")</f>
        <v>일</v>
      </c>
      <c r="D217" s="19" t="str">
        <f t="shared" si="11"/>
        <v>Y</v>
      </c>
    </row>
    <row r="218" spans="1:4" x14ac:dyDescent="0.3">
      <c r="A218" s="18">
        <f t="shared" si="9"/>
        <v>214</v>
      </c>
      <c r="B218" s="24">
        <f t="shared" si="10"/>
        <v>44410</v>
      </c>
      <c r="C218" s="19" t="str" cm="1">
        <f t="array" ref="C218">IFERROR(_xlfn.IFS(WEEKDAY(B218-1)=1,"월",WEEKDAY(B218-1)=2,"화",WEEKDAY(B218-1)=3,"수",WEEKDAY(B218-1)=4,"목",WEEKDAY(B218-1)=5,"금",WEEKDAY(B218-1)=6,"토",WEEKDAY(B218-1)=7,"일"),"")</f>
        <v>월</v>
      </c>
      <c r="D218" s="19" t="str">
        <f t="shared" si="11"/>
        <v/>
      </c>
    </row>
    <row r="219" spans="1:4" x14ac:dyDescent="0.3">
      <c r="A219" s="18">
        <f t="shared" si="9"/>
        <v>215</v>
      </c>
      <c r="B219" s="24">
        <f t="shared" si="10"/>
        <v>44411</v>
      </c>
      <c r="C219" s="19" t="str" cm="1">
        <f t="array" ref="C219">IFERROR(_xlfn.IFS(WEEKDAY(B219-1)=1,"월",WEEKDAY(B219-1)=2,"화",WEEKDAY(B219-1)=3,"수",WEEKDAY(B219-1)=4,"목",WEEKDAY(B219-1)=5,"금",WEEKDAY(B219-1)=6,"토",WEEKDAY(B219-1)=7,"일"),"")</f>
        <v>화</v>
      </c>
      <c r="D219" s="19" t="str">
        <f t="shared" si="11"/>
        <v/>
      </c>
    </row>
    <row r="220" spans="1:4" x14ac:dyDescent="0.3">
      <c r="A220" s="18">
        <f t="shared" si="9"/>
        <v>216</v>
      </c>
      <c r="B220" s="24">
        <f t="shared" si="10"/>
        <v>44412</v>
      </c>
      <c r="C220" s="19" t="str" cm="1">
        <f t="array" ref="C220">IFERROR(_xlfn.IFS(WEEKDAY(B220-1)=1,"월",WEEKDAY(B220-1)=2,"화",WEEKDAY(B220-1)=3,"수",WEEKDAY(B220-1)=4,"목",WEEKDAY(B220-1)=5,"금",WEEKDAY(B220-1)=6,"토",WEEKDAY(B220-1)=7,"일"),"")</f>
        <v>수</v>
      </c>
      <c r="D220" s="19" t="str">
        <f t="shared" si="11"/>
        <v/>
      </c>
    </row>
    <row r="221" spans="1:4" x14ac:dyDescent="0.3">
      <c r="A221" s="18">
        <f t="shared" si="9"/>
        <v>217</v>
      </c>
      <c r="B221" s="24">
        <f t="shared" si="10"/>
        <v>44413</v>
      </c>
      <c r="C221" s="19" t="str" cm="1">
        <f t="array" ref="C221">IFERROR(_xlfn.IFS(WEEKDAY(B221-1)=1,"월",WEEKDAY(B221-1)=2,"화",WEEKDAY(B221-1)=3,"수",WEEKDAY(B221-1)=4,"목",WEEKDAY(B221-1)=5,"금",WEEKDAY(B221-1)=6,"토",WEEKDAY(B221-1)=7,"일"),"")</f>
        <v>목</v>
      </c>
      <c r="D221" s="19" t="str">
        <f t="shared" si="11"/>
        <v/>
      </c>
    </row>
    <row r="222" spans="1:4" x14ac:dyDescent="0.3">
      <c r="A222" s="18">
        <f t="shared" si="9"/>
        <v>218</v>
      </c>
      <c r="B222" s="24">
        <f t="shared" si="10"/>
        <v>44414</v>
      </c>
      <c r="C222" s="19" t="str" cm="1">
        <f t="array" ref="C222">IFERROR(_xlfn.IFS(WEEKDAY(B222-1)=1,"월",WEEKDAY(B222-1)=2,"화",WEEKDAY(B222-1)=3,"수",WEEKDAY(B222-1)=4,"목",WEEKDAY(B222-1)=5,"금",WEEKDAY(B222-1)=6,"토",WEEKDAY(B222-1)=7,"일"),"")</f>
        <v>금</v>
      </c>
      <c r="D222" s="19" t="str">
        <f t="shared" si="11"/>
        <v/>
      </c>
    </row>
    <row r="223" spans="1:4" x14ac:dyDescent="0.3">
      <c r="A223" s="18">
        <f t="shared" si="9"/>
        <v>219</v>
      </c>
      <c r="B223" s="24">
        <f t="shared" si="10"/>
        <v>44415</v>
      </c>
      <c r="C223" s="19" t="str" cm="1">
        <f t="array" ref="C223">IFERROR(_xlfn.IFS(WEEKDAY(B223-1)=1,"월",WEEKDAY(B223-1)=2,"화",WEEKDAY(B223-1)=3,"수",WEEKDAY(B223-1)=4,"목",WEEKDAY(B223-1)=5,"금",WEEKDAY(B223-1)=6,"토",WEEKDAY(B223-1)=7,"일"),"")</f>
        <v>토</v>
      </c>
      <c r="D223" s="19" t="str">
        <f t="shared" si="11"/>
        <v>Y</v>
      </c>
    </row>
    <row r="224" spans="1:4" x14ac:dyDescent="0.3">
      <c r="A224" s="18">
        <f t="shared" si="9"/>
        <v>220</v>
      </c>
      <c r="B224" s="24">
        <f t="shared" si="10"/>
        <v>44416</v>
      </c>
      <c r="C224" s="19" t="str" cm="1">
        <f t="array" ref="C224">IFERROR(_xlfn.IFS(WEEKDAY(B224-1)=1,"월",WEEKDAY(B224-1)=2,"화",WEEKDAY(B224-1)=3,"수",WEEKDAY(B224-1)=4,"목",WEEKDAY(B224-1)=5,"금",WEEKDAY(B224-1)=6,"토",WEEKDAY(B224-1)=7,"일"),"")</f>
        <v>일</v>
      </c>
      <c r="D224" s="19" t="str">
        <f t="shared" si="11"/>
        <v>Y</v>
      </c>
    </row>
    <row r="225" spans="1:4" x14ac:dyDescent="0.3">
      <c r="A225" s="18">
        <f t="shared" si="9"/>
        <v>221</v>
      </c>
      <c r="B225" s="24">
        <f t="shared" si="10"/>
        <v>44417</v>
      </c>
      <c r="C225" s="19" t="str" cm="1">
        <f t="array" ref="C225">IFERROR(_xlfn.IFS(WEEKDAY(B225-1)=1,"월",WEEKDAY(B225-1)=2,"화",WEEKDAY(B225-1)=3,"수",WEEKDAY(B225-1)=4,"목",WEEKDAY(B225-1)=5,"금",WEEKDAY(B225-1)=6,"토",WEEKDAY(B225-1)=7,"일"),"")</f>
        <v>월</v>
      </c>
      <c r="D225" s="19" t="str">
        <f t="shared" si="11"/>
        <v/>
      </c>
    </row>
    <row r="226" spans="1:4" x14ac:dyDescent="0.3">
      <c r="A226" s="18">
        <f t="shared" si="9"/>
        <v>222</v>
      </c>
      <c r="B226" s="24">
        <f t="shared" si="10"/>
        <v>44418</v>
      </c>
      <c r="C226" s="19" t="str" cm="1">
        <f t="array" ref="C226">IFERROR(_xlfn.IFS(WEEKDAY(B226-1)=1,"월",WEEKDAY(B226-1)=2,"화",WEEKDAY(B226-1)=3,"수",WEEKDAY(B226-1)=4,"목",WEEKDAY(B226-1)=5,"금",WEEKDAY(B226-1)=6,"토",WEEKDAY(B226-1)=7,"일"),"")</f>
        <v>화</v>
      </c>
      <c r="D226" s="19" t="str">
        <f t="shared" si="11"/>
        <v/>
      </c>
    </row>
    <row r="227" spans="1:4" x14ac:dyDescent="0.3">
      <c r="A227" s="18">
        <f t="shared" si="9"/>
        <v>223</v>
      </c>
      <c r="B227" s="24">
        <f t="shared" si="10"/>
        <v>44419</v>
      </c>
      <c r="C227" s="19" t="str" cm="1">
        <f t="array" ref="C227">IFERROR(_xlfn.IFS(WEEKDAY(B227-1)=1,"월",WEEKDAY(B227-1)=2,"화",WEEKDAY(B227-1)=3,"수",WEEKDAY(B227-1)=4,"목",WEEKDAY(B227-1)=5,"금",WEEKDAY(B227-1)=6,"토",WEEKDAY(B227-1)=7,"일"),"")</f>
        <v>수</v>
      </c>
      <c r="D227" s="19" t="str">
        <f t="shared" si="11"/>
        <v/>
      </c>
    </row>
    <row r="228" spans="1:4" x14ac:dyDescent="0.3">
      <c r="A228" s="18">
        <f t="shared" si="9"/>
        <v>224</v>
      </c>
      <c r="B228" s="24">
        <f t="shared" si="10"/>
        <v>44420</v>
      </c>
      <c r="C228" s="19" t="str" cm="1">
        <f t="array" ref="C228">IFERROR(_xlfn.IFS(WEEKDAY(B228-1)=1,"월",WEEKDAY(B228-1)=2,"화",WEEKDAY(B228-1)=3,"수",WEEKDAY(B228-1)=4,"목",WEEKDAY(B228-1)=5,"금",WEEKDAY(B228-1)=6,"토",WEEKDAY(B228-1)=7,"일"),"")</f>
        <v>목</v>
      </c>
      <c r="D228" s="19" t="str">
        <f t="shared" si="11"/>
        <v/>
      </c>
    </row>
    <row r="229" spans="1:4" x14ac:dyDescent="0.3">
      <c r="A229" s="18">
        <f t="shared" si="9"/>
        <v>225</v>
      </c>
      <c r="B229" s="24">
        <f t="shared" si="10"/>
        <v>44421</v>
      </c>
      <c r="C229" s="19" t="str" cm="1">
        <f t="array" ref="C229">IFERROR(_xlfn.IFS(WEEKDAY(B229-1)=1,"월",WEEKDAY(B229-1)=2,"화",WEEKDAY(B229-1)=3,"수",WEEKDAY(B229-1)=4,"목",WEEKDAY(B229-1)=5,"금",WEEKDAY(B229-1)=6,"토",WEEKDAY(B229-1)=7,"일"),"")</f>
        <v>금</v>
      </c>
      <c r="D229" s="19" t="str">
        <f t="shared" si="11"/>
        <v/>
      </c>
    </row>
    <row r="230" spans="1:4" x14ac:dyDescent="0.3">
      <c r="A230" s="18">
        <f t="shared" si="9"/>
        <v>226</v>
      </c>
      <c r="B230" s="24">
        <f t="shared" si="10"/>
        <v>44422</v>
      </c>
      <c r="C230" s="19" t="str" cm="1">
        <f t="array" ref="C230">IFERROR(_xlfn.IFS(WEEKDAY(B230-1)=1,"월",WEEKDAY(B230-1)=2,"화",WEEKDAY(B230-1)=3,"수",WEEKDAY(B230-1)=4,"목",WEEKDAY(B230-1)=5,"금",WEEKDAY(B230-1)=6,"토",WEEKDAY(B230-1)=7,"일"),"")</f>
        <v>토</v>
      </c>
      <c r="D230" s="19" t="str">
        <f t="shared" si="11"/>
        <v>Y</v>
      </c>
    </row>
    <row r="231" spans="1:4" x14ac:dyDescent="0.3">
      <c r="A231" s="18">
        <f t="shared" si="9"/>
        <v>227</v>
      </c>
      <c r="B231" s="24">
        <f t="shared" si="10"/>
        <v>44423</v>
      </c>
      <c r="C231" s="19" t="str" cm="1">
        <f t="array" ref="C231">IFERROR(_xlfn.IFS(WEEKDAY(B231-1)=1,"월",WEEKDAY(B231-1)=2,"화",WEEKDAY(B231-1)=3,"수",WEEKDAY(B231-1)=4,"목",WEEKDAY(B231-1)=5,"금",WEEKDAY(B231-1)=6,"토",WEEKDAY(B231-1)=7,"일"),"")</f>
        <v>일</v>
      </c>
      <c r="D231" s="19" t="str">
        <f t="shared" si="11"/>
        <v>Y</v>
      </c>
    </row>
    <row r="232" spans="1:4" x14ac:dyDescent="0.3">
      <c r="A232" s="18">
        <f t="shared" si="9"/>
        <v>228</v>
      </c>
      <c r="B232" s="24">
        <f t="shared" si="10"/>
        <v>44424</v>
      </c>
      <c r="C232" s="19" t="str" cm="1">
        <f t="array" ref="C232">IFERROR(_xlfn.IFS(WEEKDAY(B232-1)=1,"월",WEEKDAY(B232-1)=2,"화",WEEKDAY(B232-1)=3,"수",WEEKDAY(B232-1)=4,"목",WEEKDAY(B232-1)=5,"금",WEEKDAY(B232-1)=6,"토",WEEKDAY(B232-1)=7,"일"),"")</f>
        <v>월</v>
      </c>
      <c r="D232" s="19" t="str">
        <f t="shared" si="11"/>
        <v/>
      </c>
    </row>
    <row r="233" spans="1:4" x14ac:dyDescent="0.3">
      <c r="A233" s="18">
        <f t="shared" si="9"/>
        <v>229</v>
      </c>
      <c r="B233" s="24">
        <f t="shared" si="10"/>
        <v>44425</v>
      </c>
      <c r="C233" s="19" t="str" cm="1">
        <f t="array" ref="C233">IFERROR(_xlfn.IFS(WEEKDAY(B233-1)=1,"월",WEEKDAY(B233-1)=2,"화",WEEKDAY(B233-1)=3,"수",WEEKDAY(B233-1)=4,"목",WEEKDAY(B233-1)=5,"금",WEEKDAY(B233-1)=6,"토",WEEKDAY(B233-1)=7,"일"),"")</f>
        <v>화</v>
      </c>
      <c r="D233" s="19" t="str">
        <f t="shared" si="11"/>
        <v/>
      </c>
    </row>
    <row r="234" spans="1:4" x14ac:dyDescent="0.3">
      <c r="A234" s="18">
        <f t="shared" si="9"/>
        <v>230</v>
      </c>
      <c r="B234" s="24">
        <f t="shared" si="10"/>
        <v>44426</v>
      </c>
      <c r="C234" s="19" t="str" cm="1">
        <f t="array" ref="C234">IFERROR(_xlfn.IFS(WEEKDAY(B234-1)=1,"월",WEEKDAY(B234-1)=2,"화",WEEKDAY(B234-1)=3,"수",WEEKDAY(B234-1)=4,"목",WEEKDAY(B234-1)=5,"금",WEEKDAY(B234-1)=6,"토",WEEKDAY(B234-1)=7,"일"),"")</f>
        <v>수</v>
      </c>
      <c r="D234" s="19" t="str">
        <f t="shared" si="11"/>
        <v/>
      </c>
    </row>
    <row r="235" spans="1:4" x14ac:dyDescent="0.3">
      <c r="A235" s="18">
        <f t="shared" si="9"/>
        <v>231</v>
      </c>
      <c r="B235" s="24">
        <f t="shared" si="10"/>
        <v>44427</v>
      </c>
      <c r="C235" s="19" t="str" cm="1">
        <f t="array" ref="C235">IFERROR(_xlfn.IFS(WEEKDAY(B235-1)=1,"월",WEEKDAY(B235-1)=2,"화",WEEKDAY(B235-1)=3,"수",WEEKDAY(B235-1)=4,"목",WEEKDAY(B235-1)=5,"금",WEEKDAY(B235-1)=6,"토",WEEKDAY(B235-1)=7,"일"),"")</f>
        <v>목</v>
      </c>
      <c r="D235" s="19" t="str">
        <f t="shared" si="11"/>
        <v/>
      </c>
    </row>
    <row r="236" spans="1:4" x14ac:dyDescent="0.3">
      <c r="A236" s="18">
        <f t="shared" si="9"/>
        <v>232</v>
      </c>
      <c r="B236" s="24">
        <f t="shared" si="10"/>
        <v>44428</v>
      </c>
      <c r="C236" s="19" t="str" cm="1">
        <f t="array" ref="C236">IFERROR(_xlfn.IFS(WEEKDAY(B236-1)=1,"월",WEEKDAY(B236-1)=2,"화",WEEKDAY(B236-1)=3,"수",WEEKDAY(B236-1)=4,"목",WEEKDAY(B236-1)=5,"금",WEEKDAY(B236-1)=6,"토",WEEKDAY(B236-1)=7,"일"),"")</f>
        <v>금</v>
      </c>
      <c r="D236" s="19" t="str">
        <f t="shared" si="11"/>
        <v/>
      </c>
    </row>
    <row r="237" spans="1:4" x14ac:dyDescent="0.3">
      <c r="A237" s="18">
        <f t="shared" si="9"/>
        <v>233</v>
      </c>
      <c r="B237" s="24">
        <f t="shared" si="10"/>
        <v>44429</v>
      </c>
      <c r="C237" s="19" t="str" cm="1">
        <f t="array" ref="C237">IFERROR(_xlfn.IFS(WEEKDAY(B237-1)=1,"월",WEEKDAY(B237-1)=2,"화",WEEKDAY(B237-1)=3,"수",WEEKDAY(B237-1)=4,"목",WEEKDAY(B237-1)=5,"금",WEEKDAY(B237-1)=6,"토",WEEKDAY(B237-1)=7,"일"),"")</f>
        <v>토</v>
      </c>
      <c r="D237" s="19" t="str">
        <f t="shared" si="11"/>
        <v>Y</v>
      </c>
    </row>
    <row r="238" spans="1:4" x14ac:dyDescent="0.3">
      <c r="A238" s="18">
        <f t="shared" si="9"/>
        <v>234</v>
      </c>
      <c r="B238" s="24">
        <f t="shared" si="10"/>
        <v>44430</v>
      </c>
      <c r="C238" s="19" t="str" cm="1">
        <f t="array" ref="C238">IFERROR(_xlfn.IFS(WEEKDAY(B238-1)=1,"월",WEEKDAY(B238-1)=2,"화",WEEKDAY(B238-1)=3,"수",WEEKDAY(B238-1)=4,"목",WEEKDAY(B238-1)=5,"금",WEEKDAY(B238-1)=6,"토",WEEKDAY(B238-1)=7,"일"),"")</f>
        <v>일</v>
      </c>
      <c r="D238" s="19" t="str">
        <f t="shared" si="11"/>
        <v>Y</v>
      </c>
    </row>
    <row r="239" spans="1:4" x14ac:dyDescent="0.3">
      <c r="A239" s="18">
        <f t="shared" si="9"/>
        <v>235</v>
      </c>
      <c r="B239" s="24">
        <f t="shared" si="10"/>
        <v>44431</v>
      </c>
      <c r="C239" s="19" t="str" cm="1">
        <f t="array" ref="C239">IFERROR(_xlfn.IFS(WEEKDAY(B239-1)=1,"월",WEEKDAY(B239-1)=2,"화",WEEKDAY(B239-1)=3,"수",WEEKDAY(B239-1)=4,"목",WEEKDAY(B239-1)=5,"금",WEEKDAY(B239-1)=6,"토",WEEKDAY(B239-1)=7,"일"),"")</f>
        <v>월</v>
      </c>
      <c r="D239" s="19" t="str">
        <f t="shared" si="11"/>
        <v/>
      </c>
    </row>
    <row r="240" spans="1:4" x14ac:dyDescent="0.3">
      <c r="A240" s="18">
        <f t="shared" si="9"/>
        <v>236</v>
      </c>
      <c r="B240" s="24">
        <f t="shared" si="10"/>
        <v>44432</v>
      </c>
      <c r="C240" s="19" t="str" cm="1">
        <f t="array" ref="C240">IFERROR(_xlfn.IFS(WEEKDAY(B240-1)=1,"월",WEEKDAY(B240-1)=2,"화",WEEKDAY(B240-1)=3,"수",WEEKDAY(B240-1)=4,"목",WEEKDAY(B240-1)=5,"금",WEEKDAY(B240-1)=6,"토",WEEKDAY(B240-1)=7,"일"),"")</f>
        <v>화</v>
      </c>
      <c r="D240" s="19" t="str">
        <f t="shared" si="11"/>
        <v/>
      </c>
    </row>
    <row r="241" spans="1:4" x14ac:dyDescent="0.3">
      <c r="A241" s="18">
        <f t="shared" si="9"/>
        <v>237</v>
      </c>
      <c r="B241" s="24">
        <f t="shared" si="10"/>
        <v>44433</v>
      </c>
      <c r="C241" s="19" t="str" cm="1">
        <f t="array" ref="C241">IFERROR(_xlfn.IFS(WEEKDAY(B241-1)=1,"월",WEEKDAY(B241-1)=2,"화",WEEKDAY(B241-1)=3,"수",WEEKDAY(B241-1)=4,"목",WEEKDAY(B241-1)=5,"금",WEEKDAY(B241-1)=6,"토",WEEKDAY(B241-1)=7,"일"),"")</f>
        <v>수</v>
      </c>
      <c r="D241" s="19" t="str">
        <f t="shared" si="11"/>
        <v/>
      </c>
    </row>
    <row r="242" spans="1:4" x14ac:dyDescent="0.3">
      <c r="A242" s="18">
        <f t="shared" si="9"/>
        <v>238</v>
      </c>
      <c r="B242" s="24">
        <f t="shared" si="10"/>
        <v>44434</v>
      </c>
      <c r="C242" s="19" t="str" cm="1">
        <f t="array" ref="C242">IFERROR(_xlfn.IFS(WEEKDAY(B242-1)=1,"월",WEEKDAY(B242-1)=2,"화",WEEKDAY(B242-1)=3,"수",WEEKDAY(B242-1)=4,"목",WEEKDAY(B242-1)=5,"금",WEEKDAY(B242-1)=6,"토",WEEKDAY(B242-1)=7,"일"),"")</f>
        <v>목</v>
      </c>
      <c r="D242" s="19" t="str">
        <f t="shared" si="11"/>
        <v/>
      </c>
    </row>
    <row r="243" spans="1:4" x14ac:dyDescent="0.3">
      <c r="A243" s="18">
        <f t="shared" si="9"/>
        <v>239</v>
      </c>
      <c r="B243" s="24">
        <f t="shared" si="10"/>
        <v>44435</v>
      </c>
      <c r="C243" s="19" t="str" cm="1">
        <f t="array" ref="C243">IFERROR(_xlfn.IFS(WEEKDAY(B243-1)=1,"월",WEEKDAY(B243-1)=2,"화",WEEKDAY(B243-1)=3,"수",WEEKDAY(B243-1)=4,"목",WEEKDAY(B243-1)=5,"금",WEEKDAY(B243-1)=6,"토",WEEKDAY(B243-1)=7,"일"),"")</f>
        <v>금</v>
      </c>
      <c r="D243" s="19" t="str">
        <f t="shared" si="11"/>
        <v/>
      </c>
    </row>
    <row r="244" spans="1:4" x14ac:dyDescent="0.3">
      <c r="A244" s="18">
        <f t="shared" si="9"/>
        <v>240</v>
      </c>
      <c r="B244" s="24">
        <f t="shared" si="10"/>
        <v>44436</v>
      </c>
      <c r="C244" s="19" t="str" cm="1">
        <f t="array" ref="C244">IFERROR(_xlfn.IFS(WEEKDAY(B244-1)=1,"월",WEEKDAY(B244-1)=2,"화",WEEKDAY(B244-1)=3,"수",WEEKDAY(B244-1)=4,"목",WEEKDAY(B244-1)=5,"금",WEEKDAY(B244-1)=6,"토",WEEKDAY(B244-1)=7,"일"),"")</f>
        <v>토</v>
      </c>
      <c r="D244" s="19" t="str">
        <f t="shared" si="11"/>
        <v>Y</v>
      </c>
    </row>
    <row r="245" spans="1:4" x14ac:dyDescent="0.3">
      <c r="A245" s="18">
        <f t="shared" si="9"/>
        <v>241</v>
      </c>
      <c r="B245" s="24">
        <f t="shared" si="10"/>
        <v>44437</v>
      </c>
      <c r="C245" s="19" t="str" cm="1">
        <f t="array" ref="C245">IFERROR(_xlfn.IFS(WEEKDAY(B245-1)=1,"월",WEEKDAY(B245-1)=2,"화",WEEKDAY(B245-1)=3,"수",WEEKDAY(B245-1)=4,"목",WEEKDAY(B245-1)=5,"금",WEEKDAY(B245-1)=6,"토",WEEKDAY(B245-1)=7,"일"),"")</f>
        <v>일</v>
      </c>
      <c r="D245" s="19" t="str">
        <f t="shared" si="11"/>
        <v>Y</v>
      </c>
    </row>
    <row r="246" spans="1:4" x14ac:dyDescent="0.3">
      <c r="A246" s="18">
        <f t="shared" si="9"/>
        <v>242</v>
      </c>
      <c r="B246" s="24">
        <f t="shared" si="10"/>
        <v>44438</v>
      </c>
      <c r="C246" s="19" t="str" cm="1">
        <f t="array" ref="C246">IFERROR(_xlfn.IFS(WEEKDAY(B246-1)=1,"월",WEEKDAY(B246-1)=2,"화",WEEKDAY(B246-1)=3,"수",WEEKDAY(B246-1)=4,"목",WEEKDAY(B246-1)=5,"금",WEEKDAY(B246-1)=6,"토",WEEKDAY(B246-1)=7,"일"),"")</f>
        <v>월</v>
      </c>
      <c r="D246" s="19" t="str">
        <f t="shared" si="11"/>
        <v/>
      </c>
    </row>
    <row r="247" spans="1:4" x14ac:dyDescent="0.3">
      <c r="A247" s="18">
        <f t="shared" si="9"/>
        <v>243</v>
      </c>
      <c r="B247" s="24">
        <f t="shared" si="10"/>
        <v>44439</v>
      </c>
      <c r="C247" s="19" t="str" cm="1">
        <f t="array" ref="C247">IFERROR(_xlfn.IFS(WEEKDAY(B247-1)=1,"월",WEEKDAY(B247-1)=2,"화",WEEKDAY(B247-1)=3,"수",WEEKDAY(B247-1)=4,"목",WEEKDAY(B247-1)=5,"금",WEEKDAY(B247-1)=6,"토",WEEKDAY(B247-1)=7,"일"),"")</f>
        <v>화</v>
      </c>
      <c r="D247" s="19" t="str">
        <f t="shared" si="11"/>
        <v/>
      </c>
    </row>
    <row r="248" spans="1:4" x14ac:dyDescent="0.3">
      <c r="A248" s="18">
        <f t="shared" si="9"/>
        <v>244</v>
      </c>
      <c r="B248" s="24">
        <f t="shared" si="10"/>
        <v>44440</v>
      </c>
      <c r="C248" s="19" t="str" cm="1">
        <f t="array" ref="C248">IFERROR(_xlfn.IFS(WEEKDAY(B248-1)=1,"월",WEEKDAY(B248-1)=2,"화",WEEKDAY(B248-1)=3,"수",WEEKDAY(B248-1)=4,"목",WEEKDAY(B248-1)=5,"금",WEEKDAY(B248-1)=6,"토",WEEKDAY(B248-1)=7,"일"),"")</f>
        <v>수</v>
      </c>
      <c r="D248" s="19" t="str">
        <f t="shared" si="11"/>
        <v/>
      </c>
    </row>
    <row r="249" spans="1:4" x14ac:dyDescent="0.3">
      <c r="A249" s="18">
        <f t="shared" si="9"/>
        <v>245</v>
      </c>
      <c r="B249" s="24">
        <f t="shared" si="10"/>
        <v>44441</v>
      </c>
      <c r="C249" s="19" t="str" cm="1">
        <f t="array" ref="C249">IFERROR(_xlfn.IFS(WEEKDAY(B249-1)=1,"월",WEEKDAY(B249-1)=2,"화",WEEKDAY(B249-1)=3,"수",WEEKDAY(B249-1)=4,"목",WEEKDAY(B249-1)=5,"금",WEEKDAY(B249-1)=6,"토",WEEKDAY(B249-1)=7,"일"),"")</f>
        <v>목</v>
      </c>
      <c r="D249" s="19" t="str">
        <f t="shared" si="11"/>
        <v/>
      </c>
    </row>
    <row r="250" spans="1:4" x14ac:dyDescent="0.3">
      <c r="A250" s="18">
        <f t="shared" si="9"/>
        <v>246</v>
      </c>
      <c r="B250" s="24">
        <f t="shared" si="10"/>
        <v>44442</v>
      </c>
      <c r="C250" s="19" t="str" cm="1">
        <f t="array" ref="C250">IFERROR(_xlfn.IFS(WEEKDAY(B250-1)=1,"월",WEEKDAY(B250-1)=2,"화",WEEKDAY(B250-1)=3,"수",WEEKDAY(B250-1)=4,"목",WEEKDAY(B250-1)=5,"금",WEEKDAY(B250-1)=6,"토",WEEKDAY(B250-1)=7,"일"),"")</f>
        <v>금</v>
      </c>
      <c r="D250" s="19" t="str">
        <f t="shared" si="11"/>
        <v/>
      </c>
    </row>
    <row r="251" spans="1:4" x14ac:dyDescent="0.3">
      <c r="A251" s="18">
        <f t="shared" si="9"/>
        <v>247</v>
      </c>
      <c r="B251" s="24">
        <f t="shared" si="10"/>
        <v>44443</v>
      </c>
      <c r="C251" s="19" t="str" cm="1">
        <f t="array" ref="C251">IFERROR(_xlfn.IFS(WEEKDAY(B251-1)=1,"월",WEEKDAY(B251-1)=2,"화",WEEKDAY(B251-1)=3,"수",WEEKDAY(B251-1)=4,"목",WEEKDAY(B251-1)=5,"금",WEEKDAY(B251-1)=6,"토",WEEKDAY(B251-1)=7,"일"),"")</f>
        <v>토</v>
      </c>
      <c r="D251" s="19" t="str">
        <f t="shared" si="11"/>
        <v>Y</v>
      </c>
    </row>
    <row r="252" spans="1:4" x14ac:dyDescent="0.3">
      <c r="A252" s="18">
        <f t="shared" si="9"/>
        <v>248</v>
      </c>
      <c r="B252" s="24">
        <f t="shared" si="10"/>
        <v>44444</v>
      </c>
      <c r="C252" s="19" t="str" cm="1">
        <f t="array" ref="C252">IFERROR(_xlfn.IFS(WEEKDAY(B252-1)=1,"월",WEEKDAY(B252-1)=2,"화",WEEKDAY(B252-1)=3,"수",WEEKDAY(B252-1)=4,"목",WEEKDAY(B252-1)=5,"금",WEEKDAY(B252-1)=6,"토",WEEKDAY(B252-1)=7,"일"),"")</f>
        <v>일</v>
      </c>
      <c r="D252" s="19" t="str">
        <f t="shared" si="11"/>
        <v>Y</v>
      </c>
    </row>
    <row r="253" spans="1:4" x14ac:dyDescent="0.3">
      <c r="A253" s="18">
        <f t="shared" si="9"/>
        <v>249</v>
      </c>
      <c r="B253" s="24">
        <f t="shared" si="10"/>
        <v>44445</v>
      </c>
      <c r="C253" s="19" t="str" cm="1">
        <f t="array" ref="C253">IFERROR(_xlfn.IFS(WEEKDAY(B253-1)=1,"월",WEEKDAY(B253-1)=2,"화",WEEKDAY(B253-1)=3,"수",WEEKDAY(B253-1)=4,"목",WEEKDAY(B253-1)=5,"금",WEEKDAY(B253-1)=6,"토",WEEKDAY(B253-1)=7,"일"),"")</f>
        <v>월</v>
      </c>
      <c r="D253" s="19" t="str">
        <f t="shared" si="11"/>
        <v/>
      </c>
    </row>
    <row r="254" spans="1:4" x14ac:dyDescent="0.3">
      <c r="A254" s="18">
        <f t="shared" si="9"/>
        <v>250</v>
      </c>
      <c r="B254" s="24">
        <f t="shared" si="10"/>
        <v>44446</v>
      </c>
      <c r="C254" s="19" t="str" cm="1">
        <f t="array" ref="C254">IFERROR(_xlfn.IFS(WEEKDAY(B254-1)=1,"월",WEEKDAY(B254-1)=2,"화",WEEKDAY(B254-1)=3,"수",WEEKDAY(B254-1)=4,"목",WEEKDAY(B254-1)=5,"금",WEEKDAY(B254-1)=6,"토",WEEKDAY(B254-1)=7,"일"),"")</f>
        <v>화</v>
      </c>
      <c r="D254" s="19" t="str">
        <f t="shared" si="11"/>
        <v/>
      </c>
    </row>
    <row r="255" spans="1:4" x14ac:dyDescent="0.3">
      <c r="A255" s="18">
        <f t="shared" si="9"/>
        <v>251</v>
      </c>
      <c r="B255" s="24">
        <f t="shared" si="10"/>
        <v>44447</v>
      </c>
      <c r="C255" s="19" t="str" cm="1">
        <f t="array" ref="C255">IFERROR(_xlfn.IFS(WEEKDAY(B255-1)=1,"월",WEEKDAY(B255-1)=2,"화",WEEKDAY(B255-1)=3,"수",WEEKDAY(B255-1)=4,"목",WEEKDAY(B255-1)=5,"금",WEEKDAY(B255-1)=6,"토",WEEKDAY(B255-1)=7,"일"),"")</f>
        <v>수</v>
      </c>
      <c r="D255" s="19" t="str">
        <f t="shared" si="11"/>
        <v/>
      </c>
    </row>
    <row r="256" spans="1:4" x14ac:dyDescent="0.3">
      <c r="A256" s="18">
        <f t="shared" si="9"/>
        <v>252</v>
      </c>
      <c r="B256" s="24">
        <f t="shared" si="10"/>
        <v>44448</v>
      </c>
      <c r="C256" s="19" t="str" cm="1">
        <f t="array" ref="C256">IFERROR(_xlfn.IFS(WEEKDAY(B256-1)=1,"월",WEEKDAY(B256-1)=2,"화",WEEKDAY(B256-1)=3,"수",WEEKDAY(B256-1)=4,"목",WEEKDAY(B256-1)=5,"금",WEEKDAY(B256-1)=6,"토",WEEKDAY(B256-1)=7,"일"),"")</f>
        <v>목</v>
      </c>
      <c r="D256" s="19" t="str">
        <f t="shared" si="11"/>
        <v/>
      </c>
    </row>
    <row r="257" spans="1:4" x14ac:dyDescent="0.3">
      <c r="A257" s="18">
        <f t="shared" si="9"/>
        <v>253</v>
      </c>
      <c r="B257" s="24">
        <f t="shared" si="10"/>
        <v>44449</v>
      </c>
      <c r="C257" s="19" t="str" cm="1">
        <f t="array" ref="C257">IFERROR(_xlfn.IFS(WEEKDAY(B257-1)=1,"월",WEEKDAY(B257-1)=2,"화",WEEKDAY(B257-1)=3,"수",WEEKDAY(B257-1)=4,"목",WEEKDAY(B257-1)=5,"금",WEEKDAY(B257-1)=6,"토",WEEKDAY(B257-1)=7,"일"),"")</f>
        <v>금</v>
      </c>
      <c r="D257" s="19" t="str">
        <f t="shared" si="11"/>
        <v/>
      </c>
    </row>
    <row r="258" spans="1:4" x14ac:dyDescent="0.3">
      <c r="A258" s="18">
        <f t="shared" si="9"/>
        <v>254</v>
      </c>
      <c r="B258" s="24">
        <f t="shared" si="10"/>
        <v>44450</v>
      </c>
      <c r="C258" s="19" t="str" cm="1">
        <f t="array" ref="C258">IFERROR(_xlfn.IFS(WEEKDAY(B258-1)=1,"월",WEEKDAY(B258-1)=2,"화",WEEKDAY(B258-1)=3,"수",WEEKDAY(B258-1)=4,"목",WEEKDAY(B258-1)=5,"금",WEEKDAY(B258-1)=6,"토",WEEKDAY(B258-1)=7,"일"),"")</f>
        <v>토</v>
      </c>
      <c r="D258" s="19" t="str">
        <f t="shared" si="11"/>
        <v>Y</v>
      </c>
    </row>
    <row r="259" spans="1:4" x14ac:dyDescent="0.3">
      <c r="A259" s="18">
        <f t="shared" si="9"/>
        <v>255</v>
      </c>
      <c r="B259" s="24">
        <f t="shared" si="10"/>
        <v>44451</v>
      </c>
      <c r="C259" s="19" t="str" cm="1">
        <f t="array" ref="C259">IFERROR(_xlfn.IFS(WEEKDAY(B259-1)=1,"월",WEEKDAY(B259-1)=2,"화",WEEKDAY(B259-1)=3,"수",WEEKDAY(B259-1)=4,"목",WEEKDAY(B259-1)=5,"금",WEEKDAY(B259-1)=6,"토",WEEKDAY(B259-1)=7,"일"),"")</f>
        <v>일</v>
      </c>
      <c r="D259" s="19" t="str">
        <f t="shared" si="11"/>
        <v>Y</v>
      </c>
    </row>
    <row r="260" spans="1:4" x14ac:dyDescent="0.3">
      <c r="A260" s="18">
        <f t="shared" si="9"/>
        <v>256</v>
      </c>
      <c r="B260" s="24">
        <f t="shared" si="10"/>
        <v>44452</v>
      </c>
      <c r="C260" s="19" t="str" cm="1">
        <f t="array" ref="C260">IFERROR(_xlfn.IFS(WEEKDAY(B260-1)=1,"월",WEEKDAY(B260-1)=2,"화",WEEKDAY(B260-1)=3,"수",WEEKDAY(B260-1)=4,"목",WEEKDAY(B260-1)=5,"금",WEEKDAY(B260-1)=6,"토",WEEKDAY(B260-1)=7,"일"),"")</f>
        <v>월</v>
      </c>
      <c r="D260" s="19" t="str">
        <f t="shared" si="11"/>
        <v/>
      </c>
    </row>
    <row r="261" spans="1:4" x14ac:dyDescent="0.3">
      <c r="A261" s="18">
        <f t="shared" si="9"/>
        <v>257</v>
      </c>
      <c r="B261" s="24">
        <f t="shared" si="10"/>
        <v>44453</v>
      </c>
      <c r="C261" s="19" t="str" cm="1">
        <f t="array" ref="C261">IFERROR(_xlfn.IFS(WEEKDAY(B261-1)=1,"월",WEEKDAY(B261-1)=2,"화",WEEKDAY(B261-1)=3,"수",WEEKDAY(B261-1)=4,"목",WEEKDAY(B261-1)=5,"금",WEEKDAY(B261-1)=6,"토",WEEKDAY(B261-1)=7,"일"),"")</f>
        <v>화</v>
      </c>
      <c r="D261" s="19" t="str">
        <f t="shared" si="11"/>
        <v/>
      </c>
    </row>
    <row r="262" spans="1:4" x14ac:dyDescent="0.3">
      <c r="A262" s="18">
        <f t="shared" ref="A262:A325" si="12">IFERROR(IF(ROW()-COUNTA($A$1:$A$4)&lt;=$B$2,ROW()-COUNTA($A$1:$A$4),""),"")</f>
        <v>258</v>
      </c>
      <c r="B262" s="24">
        <f t="shared" ref="B262:B325" si="13">IFERROR(DATE($B$1,1,A262), "")</f>
        <v>44454</v>
      </c>
      <c r="C262" s="19" t="str" cm="1">
        <f t="array" ref="C262">IFERROR(_xlfn.IFS(WEEKDAY(B262-1)=1,"월",WEEKDAY(B262-1)=2,"화",WEEKDAY(B262-1)=3,"수",WEEKDAY(B262-1)=4,"목",WEEKDAY(B262-1)=5,"금",WEEKDAY(B262-1)=6,"토",WEEKDAY(B262-1)=7,"일"),"")</f>
        <v>수</v>
      </c>
      <c r="D262" s="19" t="str">
        <f t="shared" ref="D262:D325" si="14">IFERROR(IF(OR(WEEKDAY(B262-1)=6,WEEKDAY(B262-1)=7), "Y", ""),"")</f>
        <v/>
      </c>
    </row>
    <row r="263" spans="1:4" x14ac:dyDescent="0.3">
      <c r="A263" s="18">
        <f t="shared" si="12"/>
        <v>259</v>
      </c>
      <c r="B263" s="24">
        <f t="shared" si="13"/>
        <v>44455</v>
      </c>
      <c r="C263" s="19" t="str" cm="1">
        <f t="array" ref="C263">IFERROR(_xlfn.IFS(WEEKDAY(B263-1)=1,"월",WEEKDAY(B263-1)=2,"화",WEEKDAY(B263-1)=3,"수",WEEKDAY(B263-1)=4,"목",WEEKDAY(B263-1)=5,"금",WEEKDAY(B263-1)=6,"토",WEEKDAY(B263-1)=7,"일"),"")</f>
        <v>목</v>
      </c>
      <c r="D263" s="19" t="str">
        <f t="shared" si="14"/>
        <v/>
      </c>
    </row>
    <row r="264" spans="1:4" x14ac:dyDescent="0.3">
      <c r="A264" s="18">
        <f t="shared" si="12"/>
        <v>260</v>
      </c>
      <c r="B264" s="24">
        <f t="shared" si="13"/>
        <v>44456</v>
      </c>
      <c r="C264" s="19" t="str" cm="1">
        <f t="array" ref="C264">IFERROR(_xlfn.IFS(WEEKDAY(B264-1)=1,"월",WEEKDAY(B264-1)=2,"화",WEEKDAY(B264-1)=3,"수",WEEKDAY(B264-1)=4,"목",WEEKDAY(B264-1)=5,"금",WEEKDAY(B264-1)=6,"토",WEEKDAY(B264-1)=7,"일"),"")</f>
        <v>금</v>
      </c>
      <c r="D264" s="19" t="str">
        <f t="shared" si="14"/>
        <v/>
      </c>
    </row>
    <row r="265" spans="1:4" x14ac:dyDescent="0.3">
      <c r="A265" s="18">
        <f t="shared" si="12"/>
        <v>261</v>
      </c>
      <c r="B265" s="24">
        <f t="shared" si="13"/>
        <v>44457</v>
      </c>
      <c r="C265" s="19" t="str" cm="1">
        <f t="array" ref="C265">IFERROR(_xlfn.IFS(WEEKDAY(B265-1)=1,"월",WEEKDAY(B265-1)=2,"화",WEEKDAY(B265-1)=3,"수",WEEKDAY(B265-1)=4,"목",WEEKDAY(B265-1)=5,"금",WEEKDAY(B265-1)=6,"토",WEEKDAY(B265-1)=7,"일"),"")</f>
        <v>토</v>
      </c>
      <c r="D265" s="19" t="str">
        <f t="shared" si="14"/>
        <v>Y</v>
      </c>
    </row>
    <row r="266" spans="1:4" x14ac:dyDescent="0.3">
      <c r="A266" s="18">
        <f t="shared" si="12"/>
        <v>262</v>
      </c>
      <c r="B266" s="24">
        <f t="shared" si="13"/>
        <v>44458</v>
      </c>
      <c r="C266" s="19" t="str" cm="1">
        <f t="array" ref="C266">IFERROR(_xlfn.IFS(WEEKDAY(B266-1)=1,"월",WEEKDAY(B266-1)=2,"화",WEEKDAY(B266-1)=3,"수",WEEKDAY(B266-1)=4,"목",WEEKDAY(B266-1)=5,"금",WEEKDAY(B266-1)=6,"토",WEEKDAY(B266-1)=7,"일"),"")</f>
        <v>일</v>
      </c>
      <c r="D266" s="19" t="str">
        <f t="shared" si="14"/>
        <v>Y</v>
      </c>
    </row>
    <row r="267" spans="1:4" x14ac:dyDescent="0.3">
      <c r="A267" s="18">
        <f t="shared" si="12"/>
        <v>263</v>
      </c>
      <c r="B267" s="24">
        <f t="shared" si="13"/>
        <v>44459</v>
      </c>
      <c r="C267" s="19" t="str" cm="1">
        <f t="array" ref="C267">IFERROR(_xlfn.IFS(WEEKDAY(B267-1)=1,"월",WEEKDAY(B267-1)=2,"화",WEEKDAY(B267-1)=3,"수",WEEKDAY(B267-1)=4,"목",WEEKDAY(B267-1)=5,"금",WEEKDAY(B267-1)=6,"토",WEEKDAY(B267-1)=7,"일"),"")</f>
        <v>월</v>
      </c>
      <c r="D267" s="19" t="str">
        <f t="shared" si="14"/>
        <v/>
      </c>
    </row>
    <row r="268" spans="1:4" x14ac:dyDescent="0.3">
      <c r="A268" s="18">
        <f t="shared" si="12"/>
        <v>264</v>
      </c>
      <c r="B268" s="24">
        <f t="shared" si="13"/>
        <v>44460</v>
      </c>
      <c r="C268" s="19" t="str" cm="1">
        <f t="array" ref="C268">IFERROR(_xlfn.IFS(WEEKDAY(B268-1)=1,"월",WEEKDAY(B268-1)=2,"화",WEEKDAY(B268-1)=3,"수",WEEKDAY(B268-1)=4,"목",WEEKDAY(B268-1)=5,"금",WEEKDAY(B268-1)=6,"토",WEEKDAY(B268-1)=7,"일"),"")</f>
        <v>화</v>
      </c>
      <c r="D268" s="19" t="str">
        <f t="shared" si="14"/>
        <v/>
      </c>
    </row>
    <row r="269" spans="1:4" x14ac:dyDescent="0.3">
      <c r="A269" s="18">
        <f t="shared" si="12"/>
        <v>265</v>
      </c>
      <c r="B269" s="24">
        <f t="shared" si="13"/>
        <v>44461</v>
      </c>
      <c r="C269" s="19" t="str" cm="1">
        <f t="array" ref="C269">IFERROR(_xlfn.IFS(WEEKDAY(B269-1)=1,"월",WEEKDAY(B269-1)=2,"화",WEEKDAY(B269-1)=3,"수",WEEKDAY(B269-1)=4,"목",WEEKDAY(B269-1)=5,"금",WEEKDAY(B269-1)=6,"토",WEEKDAY(B269-1)=7,"일"),"")</f>
        <v>수</v>
      </c>
      <c r="D269" s="19" t="str">
        <f t="shared" si="14"/>
        <v/>
      </c>
    </row>
    <row r="270" spans="1:4" x14ac:dyDescent="0.3">
      <c r="A270" s="18">
        <f t="shared" si="12"/>
        <v>266</v>
      </c>
      <c r="B270" s="24">
        <f t="shared" si="13"/>
        <v>44462</v>
      </c>
      <c r="C270" s="19" t="str" cm="1">
        <f t="array" ref="C270">IFERROR(_xlfn.IFS(WEEKDAY(B270-1)=1,"월",WEEKDAY(B270-1)=2,"화",WEEKDAY(B270-1)=3,"수",WEEKDAY(B270-1)=4,"목",WEEKDAY(B270-1)=5,"금",WEEKDAY(B270-1)=6,"토",WEEKDAY(B270-1)=7,"일"),"")</f>
        <v>목</v>
      </c>
      <c r="D270" s="19" t="str">
        <f t="shared" si="14"/>
        <v/>
      </c>
    </row>
    <row r="271" spans="1:4" x14ac:dyDescent="0.3">
      <c r="A271" s="18">
        <f t="shared" si="12"/>
        <v>267</v>
      </c>
      <c r="B271" s="24">
        <f t="shared" si="13"/>
        <v>44463</v>
      </c>
      <c r="C271" s="19" t="str" cm="1">
        <f t="array" ref="C271">IFERROR(_xlfn.IFS(WEEKDAY(B271-1)=1,"월",WEEKDAY(B271-1)=2,"화",WEEKDAY(B271-1)=3,"수",WEEKDAY(B271-1)=4,"목",WEEKDAY(B271-1)=5,"금",WEEKDAY(B271-1)=6,"토",WEEKDAY(B271-1)=7,"일"),"")</f>
        <v>금</v>
      </c>
      <c r="D271" s="19" t="str">
        <f t="shared" si="14"/>
        <v/>
      </c>
    </row>
    <row r="272" spans="1:4" x14ac:dyDescent="0.3">
      <c r="A272" s="18">
        <f t="shared" si="12"/>
        <v>268</v>
      </c>
      <c r="B272" s="24">
        <f t="shared" si="13"/>
        <v>44464</v>
      </c>
      <c r="C272" s="19" t="str" cm="1">
        <f t="array" ref="C272">IFERROR(_xlfn.IFS(WEEKDAY(B272-1)=1,"월",WEEKDAY(B272-1)=2,"화",WEEKDAY(B272-1)=3,"수",WEEKDAY(B272-1)=4,"목",WEEKDAY(B272-1)=5,"금",WEEKDAY(B272-1)=6,"토",WEEKDAY(B272-1)=7,"일"),"")</f>
        <v>토</v>
      </c>
      <c r="D272" s="19" t="str">
        <f t="shared" si="14"/>
        <v>Y</v>
      </c>
    </row>
    <row r="273" spans="1:4" x14ac:dyDescent="0.3">
      <c r="A273" s="18">
        <f t="shared" si="12"/>
        <v>269</v>
      </c>
      <c r="B273" s="24">
        <f t="shared" si="13"/>
        <v>44465</v>
      </c>
      <c r="C273" s="19" t="str" cm="1">
        <f t="array" ref="C273">IFERROR(_xlfn.IFS(WEEKDAY(B273-1)=1,"월",WEEKDAY(B273-1)=2,"화",WEEKDAY(B273-1)=3,"수",WEEKDAY(B273-1)=4,"목",WEEKDAY(B273-1)=5,"금",WEEKDAY(B273-1)=6,"토",WEEKDAY(B273-1)=7,"일"),"")</f>
        <v>일</v>
      </c>
      <c r="D273" s="19" t="str">
        <f t="shared" si="14"/>
        <v>Y</v>
      </c>
    </row>
    <row r="274" spans="1:4" x14ac:dyDescent="0.3">
      <c r="A274" s="18">
        <f t="shared" si="12"/>
        <v>270</v>
      </c>
      <c r="B274" s="24">
        <f t="shared" si="13"/>
        <v>44466</v>
      </c>
      <c r="C274" s="19" t="str" cm="1">
        <f t="array" ref="C274">IFERROR(_xlfn.IFS(WEEKDAY(B274-1)=1,"월",WEEKDAY(B274-1)=2,"화",WEEKDAY(B274-1)=3,"수",WEEKDAY(B274-1)=4,"목",WEEKDAY(B274-1)=5,"금",WEEKDAY(B274-1)=6,"토",WEEKDAY(B274-1)=7,"일"),"")</f>
        <v>월</v>
      </c>
      <c r="D274" s="19" t="str">
        <f t="shared" si="14"/>
        <v/>
      </c>
    </row>
    <row r="275" spans="1:4" x14ac:dyDescent="0.3">
      <c r="A275" s="18">
        <f t="shared" si="12"/>
        <v>271</v>
      </c>
      <c r="B275" s="24">
        <f t="shared" si="13"/>
        <v>44467</v>
      </c>
      <c r="C275" s="19" t="str" cm="1">
        <f t="array" ref="C275">IFERROR(_xlfn.IFS(WEEKDAY(B275-1)=1,"월",WEEKDAY(B275-1)=2,"화",WEEKDAY(B275-1)=3,"수",WEEKDAY(B275-1)=4,"목",WEEKDAY(B275-1)=5,"금",WEEKDAY(B275-1)=6,"토",WEEKDAY(B275-1)=7,"일"),"")</f>
        <v>화</v>
      </c>
      <c r="D275" s="19" t="str">
        <f t="shared" si="14"/>
        <v/>
      </c>
    </row>
    <row r="276" spans="1:4" x14ac:dyDescent="0.3">
      <c r="A276" s="18">
        <f t="shared" si="12"/>
        <v>272</v>
      </c>
      <c r="B276" s="24">
        <f t="shared" si="13"/>
        <v>44468</v>
      </c>
      <c r="C276" s="19" t="str" cm="1">
        <f t="array" ref="C276">IFERROR(_xlfn.IFS(WEEKDAY(B276-1)=1,"월",WEEKDAY(B276-1)=2,"화",WEEKDAY(B276-1)=3,"수",WEEKDAY(B276-1)=4,"목",WEEKDAY(B276-1)=5,"금",WEEKDAY(B276-1)=6,"토",WEEKDAY(B276-1)=7,"일"),"")</f>
        <v>수</v>
      </c>
      <c r="D276" s="19" t="str">
        <f t="shared" si="14"/>
        <v/>
      </c>
    </row>
    <row r="277" spans="1:4" x14ac:dyDescent="0.3">
      <c r="A277" s="18">
        <f t="shared" si="12"/>
        <v>273</v>
      </c>
      <c r="B277" s="24">
        <f t="shared" si="13"/>
        <v>44469</v>
      </c>
      <c r="C277" s="19" t="str" cm="1">
        <f t="array" ref="C277">IFERROR(_xlfn.IFS(WEEKDAY(B277-1)=1,"월",WEEKDAY(B277-1)=2,"화",WEEKDAY(B277-1)=3,"수",WEEKDAY(B277-1)=4,"목",WEEKDAY(B277-1)=5,"금",WEEKDAY(B277-1)=6,"토",WEEKDAY(B277-1)=7,"일"),"")</f>
        <v>목</v>
      </c>
      <c r="D277" s="19" t="str">
        <f t="shared" si="14"/>
        <v/>
      </c>
    </row>
    <row r="278" spans="1:4" x14ac:dyDescent="0.3">
      <c r="A278" s="18">
        <f t="shared" si="12"/>
        <v>274</v>
      </c>
      <c r="B278" s="24">
        <f t="shared" si="13"/>
        <v>44470</v>
      </c>
      <c r="C278" s="19" t="str" cm="1">
        <f t="array" ref="C278">IFERROR(_xlfn.IFS(WEEKDAY(B278-1)=1,"월",WEEKDAY(B278-1)=2,"화",WEEKDAY(B278-1)=3,"수",WEEKDAY(B278-1)=4,"목",WEEKDAY(B278-1)=5,"금",WEEKDAY(B278-1)=6,"토",WEEKDAY(B278-1)=7,"일"),"")</f>
        <v>금</v>
      </c>
      <c r="D278" s="19" t="str">
        <f t="shared" si="14"/>
        <v/>
      </c>
    </row>
    <row r="279" spans="1:4" x14ac:dyDescent="0.3">
      <c r="A279" s="18">
        <f t="shared" si="12"/>
        <v>275</v>
      </c>
      <c r="B279" s="24">
        <f t="shared" si="13"/>
        <v>44471</v>
      </c>
      <c r="C279" s="19" t="str" cm="1">
        <f t="array" ref="C279">IFERROR(_xlfn.IFS(WEEKDAY(B279-1)=1,"월",WEEKDAY(B279-1)=2,"화",WEEKDAY(B279-1)=3,"수",WEEKDAY(B279-1)=4,"목",WEEKDAY(B279-1)=5,"금",WEEKDAY(B279-1)=6,"토",WEEKDAY(B279-1)=7,"일"),"")</f>
        <v>토</v>
      </c>
      <c r="D279" s="19" t="str">
        <f t="shared" si="14"/>
        <v>Y</v>
      </c>
    </row>
    <row r="280" spans="1:4" x14ac:dyDescent="0.3">
      <c r="A280" s="18">
        <f t="shared" si="12"/>
        <v>276</v>
      </c>
      <c r="B280" s="24">
        <f t="shared" si="13"/>
        <v>44472</v>
      </c>
      <c r="C280" s="19" t="str" cm="1">
        <f t="array" ref="C280">IFERROR(_xlfn.IFS(WEEKDAY(B280-1)=1,"월",WEEKDAY(B280-1)=2,"화",WEEKDAY(B280-1)=3,"수",WEEKDAY(B280-1)=4,"목",WEEKDAY(B280-1)=5,"금",WEEKDAY(B280-1)=6,"토",WEEKDAY(B280-1)=7,"일"),"")</f>
        <v>일</v>
      </c>
      <c r="D280" s="19" t="str">
        <f t="shared" si="14"/>
        <v>Y</v>
      </c>
    </row>
    <row r="281" spans="1:4" x14ac:dyDescent="0.3">
      <c r="A281" s="18">
        <f t="shared" si="12"/>
        <v>277</v>
      </c>
      <c r="B281" s="24">
        <f t="shared" si="13"/>
        <v>44473</v>
      </c>
      <c r="C281" s="19" t="str" cm="1">
        <f t="array" ref="C281">IFERROR(_xlfn.IFS(WEEKDAY(B281-1)=1,"월",WEEKDAY(B281-1)=2,"화",WEEKDAY(B281-1)=3,"수",WEEKDAY(B281-1)=4,"목",WEEKDAY(B281-1)=5,"금",WEEKDAY(B281-1)=6,"토",WEEKDAY(B281-1)=7,"일"),"")</f>
        <v>월</v>
      </c>
      <c r="D281" s="19" t="str">
        <f t="shared" si="14"/>
        <v/>
      </c>
    </row>
    <row r="282" spans="1:4" x14ac:dyDescent="0.3">
      <c r="A282" s="18">
        <f t="shared" si="12"/>
        <v>278</v>
      </c>
      <c r="B282" s="24">
        <f t="shared" si="13"/>
        <v>44474</v>
      </c>
      <c r="C282" s="19" t="str" cm="1">
        <f t="array" ref="C282">IFERROR(_xlfn.IFS(WEEKDAY(B282-1)=1,"월",WEEKDAY(B282-1)=2,"화",WEEKDAY(B282-1)=3,"수",WEEKDAY(B282-1)=4,"목",WEEKDAY(B282-1)=5,"금",WEEKDAY(B282-1)=6,"토",WEEKDAY(B282-1)=7,"일"),"")</f>
        <v>화</v>
      </c>
      <c r="D282" s="19" t="str">
        <f t="shared" si="14"/>
        <v/>
      </c>
    </row>
    <row r="283" spans="1:4" x14ac:dyDescent="0.3">
      <c r="A283" s="18">
        <f t="shared" si="12"/>
        <v>279</v>
      </c>
      <c r="B283" s="24">
        <f t="shared" si="13"/>
        <v>44475</v>
      </c>
      <c r="C283" s="19" t="str" cm="1">
        <f t="array" ref="C283">IFERROR(_xlfn.IFS(WEEKDAY(B283-1)=1,"월",WEEKDAY(B283-1)=2,"화",WEEKDAY(B283-1)=3,"수",WEEKDAY(B283-1)=4,"목",WEEKDAY(B283-1)=5,"금",WEEKDAY(B283-1)=6,"토",WEEKDAY(B283-1)=7,"일"),"")</f>
        <v>수</v>
      </c>
      <c r="D283" s="19" t="str">
        <f t="shared" si="14"/>
        <v/>
      </c>
    </row>
    <row r="284" spans="1:4" x14ac:dyDescent="0.3">
      <c r="A284" s="18">
        <f t="shared" si="12"/>
        <v>280</v>
      </c>
      <c r="B284" s="24">
        <f t="shared" si="13"/>
        <v>44476</v>
      </c>
      <c r="C284" s="19" t="str" cm="1">
        <f t="array" ref="C284">IFERROR(_xlfn.IFS(WEEKDAY(B284-1)=1,"월",WEEKDAY(B284-1)=2,"화",WEEKDAY(B284-1)=3,"수",WEEKDAY(B284-1)=4,"목",WEEKDAY(B284-1)=5,"금",WEEKDAY(B284-1)=6,"토",WEEKDAY(B284-1)=7,"일"),"")</f>
        <v>목</v>
      </c>
      <c r="D284" s="19" t="str">
        <f t="shared" si="14"/>
        <v/>
      </c>
    </row>
    <row r="285" spans="1:4" x14ac:dyDescent="0.3">
      <c r="A285" s="18">
        <f t="shared" si="12"/>
        <v>281</v>
      </c>
      <c r="B285" s="24">
        <f t="shared" si="13"/>
        <v>44477</v>
      </c>
      <c r="C285" s="19" t="str" cm="1">
        <f t="array" ref="C285">IFERROR(_xlfn.IFS(WEEKDAY(B285-1)=1,"월",WEEKDAY(B285-1)=2,"화",WEEKDAY(B285-1)=3,"수",WEEKDAY(B285-1)=4,"목",WEEKDAY(B285-1)=5,"금",WEEKDAY(B285-1)=6,"토",WEEKDAY(B285-1)=7,"일"),"")</f>
        <v>금</v>
      </c>
      <c r="D285" s="19" t="str">
        <f t="shared" si="14"/>
        <v/>
      </c>
    </row>
    <row r="286" spans="1:4" x14ac:dyDescent="0.3">
      <c r="A286" s="18">
        <f t="shared" si="12"/>
        <v>282</v>
      </c>
      <c r="B286" s="24">
        <f t="shared" si="13"/>
        <v>44478</v>
      </c>
      <c r="C286" s="19" t="str" cm="1">
        <f t="array" ref="C286">IFERROR(_xlfn.IFS(WEEKDAY(B286-1)=1,"월",WEEKDAY(B286-1)=2,"화",WEEKDAY(B286-1)=3,"수",WEEKDAY(B286-1)=4,"목",WEEKDAY(B286-1)=5,"금",WEEKDAY(B286-1)=6,"토",WEEKDAY(B286-1)=7,"일"),"")</f>
        <v>토</v>
      </c>
      <c r="D286" s="19" t="str">
        <f t="shared" si="14"/>
        <v>Y</v>
      </c>
    </row>
    <row r="287" spans="1:4" x14ac:dyDescent="0.3">
      <c r="A287" s="18">
        <f t="shared" si="12"/>
        <v>283</v>
      </c>
      <c r="B287" s="24">
        <f t="shared" si="13"/>
        <v>44479</v>
      </c>
      <c r="C287" s="19" t="str" cm="1">
        <f t="array" ref="C287">IFERROR(_xlfn.IFS(WEEKDAY(B287-1)=1,"월",WEEKDAY(B287-1)=2,"화",WEEKDAY(B287-1)=3,"수",WEEKDAY(B287-1)=4,"목",WEEKDAY(B287-1)=5,"금",WEEKDAY(B287-1)=6,"토",WEEKDAY(B287-1)=7,"일"),"")</f>
        <v>일</v>
      </c>
      <c r="D287" s="19" t="str">
        <f t="shared" si="14"/>
        <v>Y</v>
      </c>
    </row>
    <row r="288" spans="1:4" x14ac:dyDescent="0.3">
      <c r="A288" s="18">
        <f t="shared" si="12"/>
        <v>284</v>
      </c>
      <c r="B288" s="24">
        <f t="shared" si="13"/>
        <v>44480</v>
      </c>
      <c r="C288" s="19" t="str" cm="1">
        <f t="array" ref="C288">IFERROR(_xlfn.IFS(WEEKDAY(B288-1)=1,"월",WEEKDAY(B288-1)=2,"화",WEEKDAY(B288-1)=3,"수",WEEKDAY(B288-1)=4,"목",WEEKDAY(B288-1)=5,"금",WEEKDAY(B288-1)=6,"토",WEEKDAY(B288-1)=7,"일"),"")</f>
        <v>월</v>
      </c>
      <c r="D288" s="19" t="str">
        <f t="shared" si="14"/>
        <v/>
      </c>
    </row>
    <row r="289" spans="1:4" x14ac:dyDescent="0.3">
      <c r="A289" s="18">
        <f t="shared" si="12"/>
        <v>285</v>
      </c>
      <c r="B289" s="24">
        <f t="shared" si="13"/>
        <v>44481</v>
      </c>
      <c r="C289" s="19" t="str" cm="1">
        <f t="array" ref="C289">IFERROR(_xlfn.IFS(WEEKDAY(B289-1)=1,"월",WEEKDAY(B289-1)=2,"화",WEEKDAY(B289-1)=3,"수",WEEKDAY(B289-1)=4,"목",WEEKDAY(B289-1)=5,"금",WEEKDAY(B289-1)=6,"토",WEEKDAY(B289-1)=7,"일"),"")</f>
        <v>화</v>
      </c>
      <c r="D289" s="19" t="str">
        <f t="shared" si="14"/>
        <v/>
      </c>
    </row>
    <row r="290" spans="1:4" x14ac:dyDescent="0.3">
      <c r="A290" s="18">
        <f t="shared" si="12"/>
        <v>286</v>
      </c>
      <c r="B290" s="24">
        <f t="shared" si="13"/>
        <v>44482</v>
      </c>
      <c r="C290" s="19" t="str" cm="1">
        <f t="array" ref="C290">IFERROR(_xlfn.IFS(WEEKDAY(B290-1)=1,"월",WEEKDAY(B290-1)=2,"화",WEEKDAY(B290-1)=3,"수",WEEKDAY(B290-1)=4,"목",WEEKDAY(B290-1)=5,"금",WEEKDAY(B290-1)=6,"토",WEEKDAY(B290-1)=7,"일"),"")</f>
        <v>수</v>
      </c>
      <c r="D290" s="19" t="str">
        <f t="shared" si="14"/>
        <v/>
      </c>
    </row>
    <row r="291" spans="1:4" x14ac:dyDescent="0.3">
      <c r="A291" s="18">
        <f t="shared" si="12"/>
        <v>287</v>
      </c>
      <c r="B291" s="24">
        <f t="shared" si="13"/>
        <v>44483</v>
      </c>
      <c r="C291" s="19" t="str" cm="1">
        <f t="array" ref="C291">IFERROR(_xlfn.IFS(WEEKDAY(B291-1)=1,"월",WEEKDAY(B291-1)=2,"화",WEEKDAY(B291-1)=3,"수",WEEKDAY(B291-1)=4,"목",WEEKDAY(B291-1)=5,"금",WEEKDAY(B291-1)=6,"토",WEEKDAY(B291-1)=7,"일"),"")</f>
        <v>목</v>
      </c>
      <c r="D291" s="19" t="str">
        <f t="shared" si="14"/>
        <v/>
      </c>
    </row>
    <row r="292" spans="1:4" x14ac:dyDescent="0.3">
      <c r="A292" s="18">
        <f t="shared" si="12"/>
        <v>288</v>
      </c>
      <c r="B292" s="24">
        <f t="shared" si="13"/>
        <v>44484</v>
      </c>
      <c r="C292" s="19" t="str" cm="1">
        <f t="array" ref="C292">IFERROR(_xlfn.IFS(WEEKDAY(B292-1)=1,"월",WEEKDAY(B292-1)=2,"화",WEEKDAY(B292-1)=3,"수",WEEKDAY(B292-1)=4,"목",WEEKDAY(B292-1)=5,"금",WEEKDAY(B292-1)=6,"토",WEEKDAY(B292-1)=7,"일"),"")</f>
        <v>금</v>
      </c>
      <c r="D292" s="19" t="str">
        <f t="shared" si="14"/>
        <v/>
      </c>
    </row>
    <row r="293" spans="1:4" x14ac:dyDescent="0.3">
      <c r="A293" s="18">
        <f t="shared" si="12"/>
        <v>289</v>
      </c>
      <c r="B293" s="24">
        <f t="shared" si="13"/>
        <v>44485</v>
      </c>
      <c r="C293" s="19" t="str" cm="1">
        <f t="array" ref="C293">IFERROR(_xlfn.IFS(WEEKDAY(B293-1)=1,"월",WEEKDAY(B293-1)=2,"화",WEEKDAY(B293-1)=3,"수",WEEKDAY(B293-1)=4,"목",WEEKDAY(B293-1)=5,"금",WEEKDAY(B293-1)=6,"토",WEEKDAY(B293-1)=7,"일"),"")</f>
        <v>토</v>
      </c>
      <c r="D293" s="19" t="str">
        <f t="shared" si="14"/>
        <v>Y</v>
      </c>
    </row>
    <row r="294" spans="1:4" x14ac:dyDescent="0.3">
      <c r="A294" s="18">
        <f t="shared" si="12"/>
        <v>290</v>
      </c>
      <c r="B294" s="24">
        <f t="shared" si="13"/>
        <v>44486</v>
      </c>
      <c r="C294" s="19" t="str" cm="1">
        <f t="array" ref="C294">IFERROR(_xlfn.IFS(WEEKDAY(B294-1)=1,"월",WEEKDAY(B294-1)=2,"화",WEEKDAY(B294-1)=3,"수",WEEKDAY(B294-1)=4,"목",WEEKDAY(B294-1)=5,"금",WEEKDAY(B294-1)=6,"토",WEEKDAY(B294-1)=7,"일"),"")</f>
        <v>일</v>
      </c>
      <c r="D294" s="19" t="str">
        <f t="shared" si="14"/>
        <v>Y</v>
      </c>
    </row>
    <row r="295" spans="1:4" x14ac:dyDescent="0.3">
      <c r="A295" s="18">
        <f t="shared" si="12"/>
        <v>291</v>
      </c>
      <c r="B295" s="24">
        <f t="shared" si="13"/>
        <v>44487</v>
      </c>
      <c r="C295" s="19" t="str" cm="1">
        <f t="array" ref="C295">IFERROR(_xlfn.IFS(WEEKDAY(B295-1)=1,"월",WEEKDAY(B295-1)=2,"화",WEEKDAY(B295-1)=3,"수",WEEKDAY(B295-1)=4,"목",WEEKDAY(B295-1)=5,"금",WEEKDAY(B295-1)=6,"토",WEEKDAY(B295-1)=7,"일"),"")</f>
        <v>월</v>
      </c>
      <c r="D295" s="19" t="str">
        <f t="shared" si="14"/>
        <v/>
      </c>
    </row>
    <row r="296" spans="1:4" x14ac:dyDescent="0.3">
      <c r="A296" s="18">
        <f t="shared" si="12"/>
        <v>292</v>
      </c>
      <c r="B296" s="24">
        <f t="shared" si="13"/>
        <v>44488</v>
      </c>
      <c r="C296" s="19" t="str" cm="1">
        <f t="array" ref="C296">IFERROR(_xlfn.IFS(WEEKDAY(B296-1)=1,"월",WEEKDAY(B296-1)=2,"화",WEEKDAY(B296-1)=3,"수",WEEKDAY(B296-1)=4,"목",WEEKDAY(B296-1)=5,"금",WEEKDAY(B296-1)=6,"토",WEEKDAY(B296-1)=7,"일"),"")</f>
        <v>화</v>
      </c>
      <c r="D296" s="19" t="str">
        <f t="shared" si="14"/>
        <v/>
      </c>
    </row>
    <row r="297" spans="1:4" x14ac:dyDescent="0.3">
      <c r="A297" s="18">
        <f t="shared" si="12"/>
        <v>293</v>
      </c>
      <c r="B297" s="24">
        <f t="shared" si="13"/>
        <v>44489</v>
      </c>
      <c r="C297" s="19" t="str" cm="1">
        <f t="array" ref="C297">IFERROR(_xlfn.IFS(WEEKDAY(B297-1)=1,"월",WEEKDAY(B297-1)=2,"화",WEEKDAY(B297-1)=3,"수",WEEKDAY(B297-1)=4,"목",WEEKDAY(B297-1)=5,"금",WEEKDAY(B297-1)=6,"토",WEEKDAY(B297-1)=7,"일"),"")</f>
        <v>수</v>
      </c>
      <c r="D297" s="19" t="str">
        <f t="shared" si="14"/>
        <v/>
      </c>
    </row>
    <row r="298" spans="1:4" x14ac:dyDescent="0.3">
      <c r="A298" s="18">
        <f t="shared" si="12"/>
        <v>294</v>
      </c>
      <c r="B298" s="24">
        <f t="shared" si="13"/>
        <v>44490</v>
      </c>
      <c r="C298" s="19" t="str" cm="1">
        <f t="array" ref="C298">IFERROR(_xlfn.IFS(WEEKDAY(B298-1)=1,"월",WEEKDAY(B298-1)=2,"화",WEEKDAY(B298-1)=3,"수",WEEKDAY(B298-1)=4,"목",WEEKDAY(B298-1)=5,"금",WEEKDAY(B298-1)=6,"토",WEEKDAY(B298-1)=7,"일"),"")</f>
        <v>목</v>
      </c>
      <c r="D298" s="19" t="str">
        <f t="shared" si="14"/>
        <v/>
      </c>
    </row>
    <row r="299" spans="1:4" x14ac:dyDescent="0.3">
      <c r="A299" s="18">
        <f t="shared" si="12"/>
        <v>295</v>
      </c>
      <c r="B299" s="24">
        <f t="shared" si="13"/>
        <v>44491</v>
      </c>
      <c r="C299" s="19" t="str" cm="1">
        <f t="array" ref="C299">IFERROR(_xlfn.IFS(WEEKDAY(B299-1)=1,"월",WEEKDAY(B299-1)=2,"화",WEEKDAY(B299-1)=3,"수",WEEKDAY(B299-1)=4,"목",WEEKDAY(B299-1)=5,"금",WEEKDAY(B299-1)=6,"토",WEEKDAY(B299-1)=7,"일"),"")</f>
        <v>금</v>
      </c>
      <c r="D299" s="19" t="str">
        <f t="shared" si="14"/>
        <v/>
      </c>
    </row>
    <row r="300" spans="1:4" x14ac:dyDescent="0.3">
      <c r="A300" s="18">
        <f t="shared" si="12"/>
        <v>296</v>
      </c>
      <c r="B300" s="24">
        <f t="shared" si="13"/>
        <v>44492</v>
      </c>
      <c r="C300" s="19" t="str" cm="1">
        <f t="array" ref="C300">IFERROR(_xlfn.IFS(WEEKDAY(B300-1)=1,"월",WEEKDAY(B300-1)=2,"화",WEEKDAY(B300-1)=3,"수",WEEKDAY(B300-1)=4,"목",WEEKDAY(B300-1)=5,"금",WEEKDAY(B300-1)=6,"토",WEEKDAY(B300-1)=7,"일"),"")</f>
        <v>토</v>
      </c>
      <c r="D300" s="19" t="str">
        <f t="shared" si="14"/>
        <v>Y</v>
      </c>
    </row>
    <row r="301" spans="1:4" x14ac:dyDescent="0.3">
      <c r="A301" s="18">
        <f t="shared" si="12"/>
        <v>297</v>
      </c>
      <c r="B301" s="24">
        <f t="shared" si="13"/>
        <v>44493</v>
      </c>
      <c r="C301" s="19" t="str" cm="1">
        <f t="array" ref="C301">IFERROR(_xlfn.IFS(WEEKDAY(B301-1)=1,"월",WEEKDAY(B301-1)=2,"화",WEEKDAY(B301-1)=3,"수",WEEKDAY(B301-1)=4,"목",WEEKDAY(B301-1)=5,"금",WEEKDAY(B301-1)=6,"토",WEEKDAY(B301-1)=7,"일"),"")</f>
        <v>일</v>
      </c>
      <c r="D301" s="19" t="str">
        <f t="shared" si="14"/>
        <v>Y</v>
      </c>
    </row>
    <row r="302" spans="1:4" x14ac:dyDescent="0.3">
      <c r="A302" s="18">
        <f t="shared" si="12"/>
        <v>298</v>
      </c>
      <c r="B302" s="24">
        <f t="shared" si="13"/>
        <v>44494</v>
      </c>
      <c r="C302" s="19" t="str" cm="1">
        <f t="array" ref="C302">IFERROR(_xlfn.IFS(WEEKDAY(B302-1)=1,"월",WEEKDAY(B302-1)=2,"화",WEEKDAY(B302-1)=3,"수",WEEKDAY(B302-1)=4,"목",WEEKDAY(B302-1)=5,"금",WEEKDAY(B302-1)=6,"토",WEEKDAY(B302-1)=7,"일"),"")</f>
        <v>월</v>
      </c>
      <c r="D302" s="19" t="str">
        <f t="shared" si="14"/>
        <v/>
      </c>
    </row>
    <row r="303" spans="1:4" x14ac:dyDescent="0.3">
      <c r="A303" s="18">
        <f t="shared" si="12"/>
        <v>299</v>
      </c>
      <c r="B303" s="24">
        <f t="shared" si="13"/>
        <v>44495</v>
      </c>
      <c r="C303" s="19" t="str" cm="1">
        <f t="array" ref="C303">IFERROR(_xlfn.IFS(WEEKDAY(B303-1)=1,"월",WEEKDAY(B303-1)=2,"화",WEEKDAY(B303-1)=3,"수",WEEKDAY(B303-1)=4,"목",WEEKDAY(B303-1)=5,"금",WEEKDAY(B303-1)=6,"토",WEEKDAY(B303-1)=7,"일"),"")</f>
        <v>화</v>
      </c>
      <c r="D303" s="19" t="str">
        <f t="shared" si="14"/>
        <v/>
      </c>
    </row>
    <row r="304" spans="1:4" x14ac:dyDescent="0.3">
      <c r="A304" s="18">
        <f t="shared" si="12"/>
        <v>300</v>
      </c>
      <c r="B304" s="24">
        <f t="shared" si="13"/>
        <v>44496</v>
      </c>
      <c r="C304" s="19" t="str" cm="1">
        <f t="array" ref="C304">IFERROR(_xlfn.IFS(WEEKDAY(B304-1)=1,"월",WEEKDAY(B304-1)=2,"화",WEEKDAY(B304-1)=3,"수",WEEKDAY(B304-1)=4,"목",WEEKDAY(B304-1)=5,"금",WEEKDAY(B304-1)=6,"토",WEEKDAY(B304-1)=7,"일"),"")</f>
        <v>수</v>
      </c>
      <c r="D304" s="19" t="str">
        <f t="shared" si="14"/>
        <v/>
      </c>
    </row>
    <row r="305" spans="1:4" x14ac:dyDescent="0.3">
      <c r="A305" s="18">
        <f t="shared" si="12"/>
        <v>301</v>
      </c>
      <c r="B305" s="24">
        <f t="shared" si="13"/>
        <v>44497</v>
      </c>
      <c r="C305" s="19" t="str" cm="1">
        <f t="array" ref="C305">IFERROR(_xlfn.IFS(WEEKDAY(B305-1)=1,"월",WEEKDAY(B305-1)=2,"화",WEEKDAY(B305-1)=3,"수",WEEKDAY(B305-1)=4,"목",WEEKDAY(B305-1)=5,"금",WEEKDAY(B305-1)=6,"토",WEEKDAY(B305-1)=7,"일"),"")</f>
        <v>목</v>
      </c>
      <c r="D305" s="19" t="str">
        <f t="shared" si="14"/>
        <v/>
      </c>
    </row>
    <row r="306" spans="1:4" x14ac:dyDescent="0.3">
      <c r="A306" s="18">
        <f t="shared" si="12"/>
        <v>302</v>
      </c>
      <c r="B306" s="24">
        <f t="shared" si="13"/>
        <v>44498</v>
      </c>
      <c r="C306" s="19" t="str" cm="1">
        <f t="array" ref="C306">IFERROR(_xlfn.IFS(WEEKDAY(B306-1)=1,"월",WEEKDAY(B306-1)=2,"화",WEEKDAY(B306-1)=3,"수",WEEKDAY(B306-1)=4,"목",WEEKDAY(B306-1)=5,"금",WEEKDAY(B306-1)=6,"토",WEEKDAY(B306-1)=7,"일"),"")</f>
        <v>금</v>
      </c>
      <c r="D306" s="19" t="str">
        <f t="shared" si="14"/>
        <v/>
      </c>
    </row>
    <row r="307" spans="1:4" x14ac:dyDescent="0.3">
      <c r="A307" s="18">
        <f t="shared" si="12"/>
        <v>303</v>
      </c>
      <c r="B307" s="24">
        <f t="shared" si="13"/>
        <v>44499</v>
      </c>
      <c r="C307" s="19" t="str" cm="1">
        <f t="array" ref="C307">IFERROR(_xlfn.IFS(WEEKDAY(B307-1)=1,"월",WEEKDAY(B307-1)=2,"화",WEEKDAY(B307-1)=3,"수",WEEKDAY(B307-1)=4,"목",WEEKDAY(B307-1)=5,"금",WEEKDAY(B307-1)=6,"토",WEEKDAY(B307-1)=7,"일"),"")</f>
        <v>토</v>
      </c>
      <c r="D307" s="19" t="str">
        <f t="shared" si="14"/>
        <v>Y</v>
      </c>
    </row>
    <row r="308" spans="1:4" x14ac:dyDescent="0.3">
      <c r="A308" s="18">
        <f t="shared" si="12"/>
        <v>304</v>
      </c>
      <c r="B308" s="24">
        <f t="shared" si="13"/>
        <v>44500</v>
      </c>
      <c r="C308" s="19" t="str" cm="1">
        <f t="array" ref="C308">IFERROR(_xlfn.IFS(WEEKDAY(B308-1)=1,"월",WEEKDAY(B308-1)=2,"화",WEEKDAY(B308-1)=3,"수",WEEKDAY(B308-1)=4,"목",WEEKDAY(B308-1)=5,"금",WEEKDAY(B308-1)=6,"토",WEEKDAY(B308-1)=7,"일"),"")</f>
        <v>일</v>
      </c>
      <c r="D308" s="19" t="str">
        <f t="shared" si="14"/>
        <v>Y</v>
      </c>
    </row>
    <row r="309" spans="1:4" x14ac:dyDescent="0.3">
      <c r="A309" s="18">
        <f t="shared" si="12"/>
        <v>305</v>
      </c>
      <c r="B309" s="24">
        <f t="shared" si="13"/>
        <v>44501</v>
      </c>
      <c r="C309" s="19" t="str" cm="1">
        <f t="array" ref="C309">IFERROR(_xlfn.IFS(WEEKDAY(B309-1)=1,"월",WEEKDAY(B309-1)=2,"화",WEEKDAY(B309-1)=3,"수",WEEKDAY(B309-1)=4,"목",WEEKDAY(B309-1)=5,"금",WEEKDAY(B309-1)=6,"토",WEEKDAY(B309-1)=7,"일"),"")</f>
        <v>월</v>
      </c>
      <c r="D309" s="19" t="str">
        <f t="shared" si="14"/>
        <v/>
      </c>
    </row>
    <row r="310" spans="1:4" x14ac:dyDescent="0.3">
      <c r="A310" s="18">
        <f t="shared" si="12"/>
        <v>306</v>
      </c>
      <c r="B310" s="24">
        <f t="shared" si="13"/>
        <v>44502</v>
      </c>
      <c r="C310" s="19" t="str" cm="1">
        <f t="array" ref="C310">IFERROR(_xlfn.IFS(WEEKDAY(B310-1)=1,"월",WEEKDAY(B310-1)=2,"화",WEEKDAY(B310-1)=3,"수",WEEKDAY(B310-1)=4,"목",WEEKDAY(B310-1)=5,"금",WEEKDAY(B310-1)=6,"토",WEEKDAY(B310-1)=7,"일"),"")</f>
        <v>화</v>
      </c>
      <c r="D310" s="19" t="str">
        <f t="shared" si="14"/>
        <v/>
      </c>
    </row>
    <row r="311" spans="1:4" x14ac:dyDescent="0.3">
      <c r="A311" s="18">
        <f t="shared" si="12"/>
        <v>307</v>
      </c>
      <c r="B311" s="24">
        <f t="shared" si="13"/>
        <v>44503</v>
      </c>
      <c r="C311" s="19" t="str" cm="1">
        <f t="array" ref="C311">IFERROR(_xlfn.IFS(WEEKDAY(B311-1)=1,"월",WEEKDAY(B311-1)=2,"화",WEEKDAY(B311-1)=3,"수",WEEKDAY(B311-1)=4,"목",WEEKDAY(B311-1)=5,"금",WEEKDAY(B311-1)=6,"토",WEEKDAY(B311-1)=7,"일"),"")</f>
        <v>수</v>
      </c>
      <c r="D311" s="19" t="str">
        <f t="shared" si="14"/>
        <v/>
      </c>
    </row>
    <row r="312" spans="1:4" x14ac:dyDescent="0.3">
      <c r="A312" s="18">
        <f t="shared" si="12"/>
        <v>308</v>
      </c>
      <c r="B312" s="24">
        <f t="shared" si="13"/>
        <v>44504</v>
      </c>
      <c r="C312" s="19" t="str" cm="1">
        <f t="array" ref="C312">IFERROR(_xlfn.IFS(WEEKDAY(B312-1)=1,"월",WEEKDAY(B312-1)=2,"화",WEEKDAY(B312-1)=3,"수",WEEKDAY(B312-1)=4,"목",WEEKDAY(B312-1)=5,"금",WEEKDAY(B312-1)=6,"토",WEEKDAY(B312-1)=7,"일"),"")</f>
        <v>목</v>
      </c>
      <c r="D312" s="19" t="str">
        <f t="shared" si="14"/>
        <v/>
      </c>
    </row>
    <row r="313" spans="1:4" x14ac:dyDescent="0.3">
      <c r="A313" s="18">
        <f t="shared" si="12"/>
        <v>309</v>
      </c>
      <c r="B313" s="24">
        <f t="shared" si="13"/>
        <v>44505</v>
      </c>
      <c r="C313" s="19" t="str" cm="1">
        <f t="array" ref="C313">IFERROR(_xlfn.IFS(WEEKDAY(B313-1)=1,"월",WEEKDAY(B313-1)=2,"화",WEEKDAY(B313-1)=3,"수",WEEKDAY(B313-1)=4,"목",WEEKDAY(B313-1)=5,"금",WEEKDAY(B313-1)=6,"토",WEEKDAY(B313-1)=7,"일"),"")</f>
        <v>금</v>
      </c>
      <c r="D313" s="19" t="str">
        <f t="shared" si="14"/>
        <v/>
      </c>
    </row>
    <row r="314" spans="1:4" x14ac:dyDescent="0.3">
      <c r="A314" s="18">
        <f t="shared" si="12"/>
        <v>310</v>
      </c>
      <c r="B314" s="24">
        <f t="shared" si="13"/>
        <v>44506</v>
      </c>
      <c r="C314" s="19" t="str" cm="1">
        <f t="array" ref="C314">IFERROR(_xlfn.IFS(WEEKDAY(B314-1)=1,"월",WEEKDAY(B314-1)=2,"화",WEEKDAY(B314-1)=3,"수",WEEKDAY(B314-1)=4,"목",WEEKDAY(B314-1)=5,"금",WEEKDAY(B314-1)=6,"토",WEEKDAY(B314-1)=7,"일"),"")</f>
        <v>토</v>
      </c>
      <c r="D314" s="19" t="str">
        <f t="shared" si="14"/>
        <v>Y</v>
      </c>
    </row>
    <row r="315" spans="1:4" x14ac:dyDescent="0.3">
      <c r="A315" s="18">
        <f t="shared" si="12"/>
        <v>311</v>
      </c>
      <c r="B315" s="24">
        <f t="shared" si="13"/>
        <v>44507</v>
      </c>
      <c r="C315" s="19" t="str" cm="1">
        <f t="array" ref="C315">IFERROR(_xlfn.IFS(WEEKDAY(B315-1)=1,"월",WEEKDAY(B315-1)=2,"화",WEEKDAY(B315-1)=3,"수",WEEKDAY(B315-1)=4,"목",WEEKDAY(B315-1)=5,"금",WEEKDAY(B315-1)=6,"토",WEEKDAY(B315-1)=7,"일"),"")</f>
        <v>일</v>
      </c>
      <c r="D315" s="19" t="str">
        <f t="shared" si="14"/>
        <v>Y</v>
      </c>
    </row>
    <row r="316" spans="1:4" x14ac:dyDescent="0.3">
      <c r="A316" s="18">
        <f t="shared" si="12"/>
        <v>312</v>
      </c>
      <c r="B316" s="24">
        <f t="shared" si="13"/>
        <v>44508</v>
      </c>
      <c r="C316" s="19" t="str" cm="1">
        <f t="array" ref="C316">IFERROR(_xlfn.IFS(WEEKDAY(B316-1)=1,"월",WEEKDAY(B316-1)=2,"화",WEEKDAY(B316-1)=3,"수",WEEKDAY(B316-1)=4,"목",WEEKDAY(B316-1)=5,"금",WEEKDAY(B316-1)=6,"토",WEEKDAY(B316-1)=7,"일"),"")</f>
        <v>월</v>
      </c>
      <c r="D316" s="19" t="str">
        <f t="shared" si="14"/>
        <v/>
      </c>
    </row>
    <row r="317" spans="1:4" x14ac:dyDescent="0.3">
      <c r="A317" s="18">
        <f t="shared" si="12"/>
        <v>313</v>
      </c>
      <c r="B317" s="24">
        <f t="shared" si="13"/>
        <v>44509</v>
      </c>
      <c r="C317" s="19" t="str" cm="1">
        <f t="array" ref="C317">IFERROR(_xlfn.IFS(WEEKDAY(B317-1)=1,"월",WEEKDAY(B317-1)=2,"화",WEEKDAY(B317-1)=3,"수",WEEKDAY(B317-1)=4,"목",WEEKDAY(B317-1)=5,"금",WEEKDAY(B317-1)=6,"토",WEEKDAY(B317-1)=7,"일"),"")</f>
        <v>화</v>
      </c>
      <c r="D317" s="19" t="str">
        <f t="shared" si="14"/>
        <v/>
      </c>
    </row>
    <row r="318" spans="1:4" x14ac:dyDescent="0.3">
      <c r="A318" s="18">
        <f t="shared" si="12"/>
        <v>314</v>
      </c>
      <c r="B318" s="24">
        <f t="shared" si="13"/>
        <v>44510</v>
      </c>
      <c r="C318" s="19" t="str" cm="1">
        <f t="array" ref="C318">IFERROR(_xlfn.IFS(WEEKDAY(B318-1)=1,"월",WEEKDAY(B318-1)=2,"화",WEEKDAY(B318-1)=3,"수",WEEKDAY(B318-1)=4,"목",WEEKDAY(B318-1)=5,"금",WEEKDAY(B318-1)=6,"토",WEEKDAY(B318-1)=7,"일"),"")</f>
        <v>수</v>
      </c>
      <c r="D318" s="19" t="str">
        <f t="shared" si="14"/>
        <v/>
      </c>
    </row>
    <row r="319" spans="1:4" x14ac:dyDescent="0.3">
      <c r="A319" s="18">
        <f t="shared" si="12"/>
        <v>315</v>
      </c>
      <c r="B319" s="24">
        <f t="shared" si="13"/>
        <v>44511</v>
      </c>
      <c r="C319" s="19" t="str" cm="1">
        <f t="array" ref="C319">IFERROR(_xlfn.IFS(WEEKDAY(B319-1)=1,"월",WEEKDAY(B319-1)=2,"화",WEEKDAY(B319-1)=3,"수",WEEKDAY(B319-1)=4,"목",WEEKDAY(B319-1)=5,"금",WEEKDAY(B319-1)=6,"토",WEEKDAY(B319-1)=7,"일"),"")</f>
        <v>목</v>
      </c>
      <c r="D319" s="19" t="str">
        <f t="shared" si="14"/>
        <v/>
      </c>
    </row>
    <row r="320" spans="1:4" x14ac:dyDescent="0.3">
      <c r="A320" s="18">
        <f t="shared" si="12"/>
        <v>316</v>
      </c>
      <c r="B320" s="24">
        <f t="shared" si="13"/>
        <v>44512</v>
      </c>
      <c r="C320" s="19" t="str" cm="1">
        <f t="array" ref="C320">IFERROR(_xlfn.IFS(WEEKDAY(B320-1)=1,"월",WEEKDAY(B320-1)=2,"화",WEEKDAY(B320-1)=3,"수",WEEKDAY(B320-1)=4,"목",WEEKDAY(B320-1)=5,"금",WEEKDAY(B320-1)=6,"토",WEEKDAY(B320-1)=7,"일"),"")</f>
        <v>금</v>
      </c>
      <c r="D320" s="19" t="str">
        <f t="shared" si="14"/>
        <v/>
      </c>
    </row>
    <row r="321" spans="1:4" x14ac:dyDescent="0.3">
      <c r="A321" s="18">
        <f t="shared" si="12"/>
        <v>317</v>
      </c>
      <c r="B321" s="24">
        <f t="shared" si="13"/>
        <v>44513</v>
      </c>
      <c r="C321" s="19" t="str" cm="1">
        <f t="array" ref="C321">IFERROR(_xlfn.IFS(WEEKDAY(B321-1)=1,"월",WEEKDAY(B321-1)=2,"화",WEEKDAY(B321-1)=3,"수",WEEKDAY(B321-1)=4,"목",WEEKDAY(B321-1)=5,"금",WEEKDAY(B321-1)=6,"토",WEEKDAY(B321-1)=7,"일"),"")</f>
        <v>토</v>
      </c>
      <c r="D321" s="19" t="str">
        <f t="shared" si="14"/>
        <v>Y</v>
      </c>
    </row>
    <row r="322" spans="1:4" x14ac:dyDescent="0.3">
      <c r="A322" s="18">
        <f t="shared" si="12"/>
        <v>318</v>
      </c>
      <c r="B322" s="24">
        <f t="shared" si="13"/>
        <v>44514</v>
      </c>
      <c r="C322" s="19" t="str" cm="1">
        <f t="array" ref="C322">IFERROR(_xlfn.IFS(WEEKDAY(B322-1)=1,"월",WEEKDAY(B322-1)=2,"화",WEEKDAY(B322-1)=3,"수",WEEKDAY(B322-1)=4,"목",WEEKDAY(B322-1)=5,"금",WEEKDAY(B322-1)=6,"토",WEEKDAY(B322-1)=7,"일"),"")</f>
        <v>일</v>
      </c>
      <c r="D322" s="19" t="str">
        <f t="shared" si="14"/>
        <v>Y</v>
      </c>
    </row>
    <row r="323" spans="1:4" x14ac:dyDescent="0.3">
      <c r="A323" s="18">
        <f t="shared" si="12"/>
        <v>319</v>
      </c>
      <c r="B323" s="24">
        <f t="shared" si="13"/>
        <v>44515</v>
      </c>
      <c r="C323" s="19" t="str" cm="1">
        <f t="array" ref="C323">IFERROR(_xlfn.IFS(WEEKDAY(B323-1)=1,"월",WEEKDAY(B323-1)=2,"화",WEEKDAY(B323-1)=3,"수",WEEKDAY(B323-1)=4,"목",WEEKDAY(B323-1)=5,"금",WEEKDAY(B323-1)=6,"토",WEEKDAY(B323-1)=7,"일"),"")</f>
        <v>월</v>
      </c>
      <c r="D323" s="19" t="str">
        <f t="shared" si="14"/>
        <v/>
      </c>
    </row>
    <row r="324" spans="1:4" x14ac:dyDescent="0.3">
      <c r="A324" s="18">
        <f t="shared" si="12"/>
        <v>320</v>
      </c>
      <c r="B324" s="24">
        <f t="shared" si="13"/>
        <v>44516</v>
      </c>
      <c r="C324" s="19" t="str" cm="1">
        <f t="array" ref="C324">IFERROR(_xlfn.IFS(WEEKDAY(B324-1)=1,"월",WEEKDAY(B324-1)=2,"화",WEEKDAY(B324-1)=3,"수",WEEKDAY(B324-1)=4,"목",WEEKDAY(B324-1)=5,"금",WEEKDAY(B324-1)=6,"토",WEEKDAY(B324-1)=7,"일"),"")</f>
        <v>화</v>
      </c>
      <c r="D324" s="19" t="str">
        <f t="shared" si="14"/>
        <v/>
      </c>
    </row>
    <row r="325" spans="1:4" x14ac:dyDescent="0.3">
      <c r="A325" s="18">
        <f t="shared" si="12"/>
        <v>321</v>
      </c>
      <c r="B325" s="24">
        <f t="shared" si="13"/>
        <v>44517</v>
      </c>
      <c r="C325" s="19" t="str" cm="1">
        <f t="array" ref="C325">IFERROR(_xlfn.IFS(WEEKDAY(B325-1)=1,"월",WEEKDAY(B325-1)=2,"화",WEEKDAY(B325-1)=3,"수",WEEKDAY(B325-1)=4,"목",WEEKDAY(B325-1)=5,"금",WEEKDAY(B325-1)=6,"토",WEEKDAY(B325-1)=7,"일"),"")</f>
        <v>수</v>
      </c>
      <c r="D325" s="19" t="str">
        <f t="shared" si="14"/>
        <v/>
      </c>
    </row>
    <row r="326" spans="1:4" x14ac:dyDescent="0.3">
      <c r="A326" s="18">
        <f t="shared" ref="A326:A370" si="15">IFERROR(IF(ROW()-COUNTA($A$1:$A$4)&lt;=$B$2,ROW()-COUNTA($A$1:$A$4),""),"")</f>
        <v>322</v>
      </c>
      <c r="B326" s="24">
        <f t="shared" ref="B326:B370" si="16">IFERROR(DATE($B$1,1,A326), "")</f>
        <v>44518</v>
      </c>
      <c r="C326" s="19" t="str" cm="1">
        <f t="array" ref="C326">IFERROR(_xlfn.IFS(WEEKDAY(B326-1)=1,"월",WEEKDAY(B326-1)=2,"화",WEEKDAY(B326-1)=3,"수",WEEKDAY(B326-1)=4,"목",WEEKDAY(B326-1)=5,"금",WEEKDAY(B326-1)=6,"토",WEEKDAY(B326-1)=7,"일"),"")</f>
        <v>목</v>
      </c>
      <c r="D326" s="19" t="str">
        <f t="shared" ref="D326:D370" si="17">IFERROR(IF(OR(WEEKDAY(B326-1)=6,WEEKDAY(B326-1)=7), "Y", ""),"")</f>
        <v/>
      </c>
    </row>
    <row r="327" spans="1:4" x14ac:dyDescent="0.3">
      <c r="A327" s="18">
        <f t="shared" si="15"/>
        <v>323</v>
      </c>
      <c r="B327" s="24">
        <f t="shared" si="16"/>
        <v>44519</v>
      </c>
      <c r="C327" s="19" t="str" cm="1">
        <f t="array" ref="C327">IFERROR(_xlfn.IFS(WEEKDAY(B327-1)=1,"월",WEEKDAY(B327-1)=2,"화",WEEKDAY(B327-1)=3,"수",WEEKDAY(B327-1)=4,"목",WEEKDAY(B327-1)=5,"금",WEEKDAY(B327-1)=6,"토",WEEKDAY(B327-1)=7,"일"),"")</f>
        <v>금</v>
      </c>
      <c r="D327" s="19" t="str">
        <f t="shared" si="17"/>
        <v/>
      </c>
    </row>
    <row r="328" spans="1:4" x14ac:dyDescent="0.3">
      <c r="A328" s="18">
        <f t="shared" si="15"/>
        <v>324</v>
      </c>
      <c r="B328" s="24">
        <f t="shared" si="16"/>
        <v>44520</v>
      </c>
      <c r="C328" s="19" t="str" cm="1">
        <f t="array" ref="C328">IFERROR(_xlfn.IFS(WEEKDAY(B328-1)=1,"월",WEEKDAY(B328-1)=2,"화",WEEKDAY(B328-1)=3,"수",WEEKDAY(B328-1)=4,"목",WEEKDAY(B328-1)=5,"금",WEEKDAY(B328-1)=6,"토",WEEKDAY(B328-1)=7,"일"),"")</f>
        <v>토</v>
      </c>
      <c r="D328" s="19" t="str">
        <f t="shared" si="17"/>
        <v>Y</v>
      </c>
    </row>
    <row r="329" spans="1:4" x14ac:dyDescent="0.3">
      <c r="A329" s="18">
        <f t="shared" si="15"/>
        <v>325</v>
      </c>
      <c r="B329" s="24">
        <f t="shared" si="16"/>
        <v>44521</v>
      </c>
      <c r="C329" s="19" t="str" cm="1">
        <f t="array" ref="C329">IFERROR(_xlfn.IFS(WEEKDAY(B329-1)=1,"월",WEEKDAY(B329-1)=2,"화",WEEKDAY(B329-1)=3,"수",WEEKDAY(B329-1)=4,"목",WEEKDAY(B329-1)=5,"금",WEEKDAY(B329-1)=6,"토",WEEKDAY(B329-1)=7,"일"),"")</f>
        <v>일</v>
      </c>
      <c r="D329" s="19" t="str">
        <f t="shared" si="17"/>
        <v>Y</v>
      </c>
    </row>
    <row r="330" spans="1:4" x14ac:dyDescent="0.3">
      <c r="A330" s="18">
        <f t="shared" si="15"/>
        <v>326</v>
      </c>
      <c r="B330" s="24">
        <f t="shared" si="16"/>
        <v>44522</v>
      </c>
      <c r="C330" s="19" t="str" cm="1">
        <f t="array" ref="C330">IFERROR(_xlfn.IFS(WEEKDAY(B330-1)=1,"월",WEEKDAY(B330-1)=2,"화",WEEKDAY(B330-1)=3,"수",WEEKDAY(B330-1)=4,"목",WEEKDAY(B330-1)=5,"금",WEEKDAY(B330-1)=6,"토",WEEKDAY(B330-1)=7,"일"),"")</f>
        <v>월</v>
      </c>
      <c r="D330" s="19" t="str">
        <f t="shared" si="17"/>
        <v/>
      </c>
    </row>
    <row r="331" spans="1:4" x14ac:dyDescent="0.3">
      <c r="A331" s="18">
        <f t="shared" si="15"/>
        <v>327</v>
      </c>
      <c r="B331" s="24">
        <f t="shared" si="16"/>
        <v>44523</v>
      </c>
      <c r="C331" s="19" t="str" cm="1">
        <f t="array" ref="C331">IFERROR(_xlfn.IFS(WEEKDAY(B331-1)=1,"월",WEEKDAY(B331-1)=2,"화",WEEKDAY(B331-1)=3,"수",WEEKDAY(B331-1)=4,"목",WEEKDAY(B331-1)=5,"금",WEEKDAY(B331-1)=6,"토",WEEKDAY(B331-1)=7,"일"),"")</f>
        <v>화</v>
      </c>
      <c r="D331" s="19" t="str">
        <f t="shared" si="17"/>
        <v/>
      </c>
    </row>
    <row r="332" spans="1:4" x14ac:dyDescent="0.3">
      <c r="A332" s="18">
        <f t="shared" si="15"/>
        <v>328</v>
      </c>
      <c r="B332" s="24">
        <f t="shared" si="16"/>
        <v>44524</v>
      </c>
      <c r="C332" s="19" t="str" cm="1">
        <f t="array" ref="C332">IFERROR(_xlfn.IFS(WEEKDAY(B332-1)=1,"월",WEEKDAY(B332-1)=2,"화",WEEKDAY(B332-1)=3,"수",WEEKDAY(B332-1)=4,"목",WEEKDAY(B332-1)=5,"금",WEEKDAY(B332-1)=6,"토",WEEKDAY(B332-1)=7,"일"),"")</f>
        <v>수</v>
      </c>
      <c r="D332" s="19" t="str">
        <f t="shared" si="17"/>
        <v/>
      </c>
    </row>
    <row r="333" spans="1:4" x14ac:dyDescent="0.3">
      <c r="A333" s="18">
        <f t="shared" si="15"/>
        <v>329</v>
      </c>
      <c r="B333" s="24">
        <f t="shared" si="16"/>
        <v>44525</v>
      </c>
      <c r="C333" s="19" t="str" cm="1">
        <f t="array" ref="C333">IFERROR(_xlfn.IFS(WEEKDAY(B333-1)=1,"월",WEEKDAY(B333-1)=2,"화",WEEKDAY(B333-1)=3,"수",WEEKDAY(B333-1)=4,"목",WEEKDAY(B333-1)=5,"금",WEEKDAY(B333-1)=6,"토",WEEKDAY(B333-1)=7,"일"),"")</f>
        <v>목</v>
      </c>
      <c r="D333" s="19" t="str">
        <f t="shared" si="17"/>
        <v/>
      </c>
    </row>
    <row r="334" spans="1:4" x14ac:dyDescent="0.3">
      <c r="A334" s="18">
        <f t="shared" si="15"/>
        <v>330</v>
      </c>
      <c r="B334" s="24">
        <f t="shared" si="16"/>
        <v>44526</v>
      </c>
      <c r="C334" s="19" t="str" cm="1">
        <f t="array" ref="C334">IFERROR(_xlfn.IFS(WEEKDAY(B334-1)=1,"월",WEEKDAY(B334-1)=2,"화",WEEKDAY(B334-1)=3,"수",WEEKDAY(B334-1)=4,"목",WEEKDAY(B334-1)=5,"금",WEEKDAY(B334-1)=6,"토",WEEKDAY(B334-1)=7,"일"),"")</f>
        <v>금</v>
      </c>
      <c r="D334" s="19" t="str">
        <f t="shared" si="17"/>
        <v/>
      </c>
    </row>
    <row r="335" spans="1:4" x14ac:dyDescent="0.3">
      <c r="A335" s="18">
        <f t="shared" si="15"/>
        <v>331</v>
      </c>
      <c r="B335" s="24">
        <f t="shared" si="16"/>
        <v>44527</v>
      </c>
      <c r="C335" s="19" t="str" cm="1">
        <f t="array" ref="C335">IFERROR(_xlfn.IFS(WEEKDAY(B335-1)=1,"월",WEEKDAY(B335-1)=2,"화",WEEKDAY(B335-1)=3,"수",WEEKDAY(B335-1)=4,"목",WEEKDAY(B335-1)=5,"금",WEEKDAY(B335-1)=6,"토",WEEKDAY(B335-1)=7,"일"),"")</f>
        <v>토</v>
      </c>
      <c r="D335" s="19" t="str">
        <f t="shared" si="17"/>
        <v>Y</v>
      </c>
    </row>
    <row r="336" spans="1:4" x14ac:dyDescent="0.3">
      <c r="A336" s="18">
        <f t="shared" si="15"/>
        <v>332</v>
      </c>
      <c r="B336" s="24">
        <f t="shared" si="16"/>
        <v>44528</v>
      </c>
      <c r="C336" s="19" t="str" cm="1">
        <f t="array" ref="C336">IFERROR(_xlfn.IFS(WEEKDAY(B336-1)=1,"월",WEEKDAY(B336-1)=2,"화",WEEKDAY(B336-1)=3,"수",WEEKDAY(B336-1)=4,"목",WEEKDAY(B336-1)=5,"금",WEEKDAY(B336-1)=6,"토",WEEKDAY(B336-1)=7,"일"),"")</f>
        <v>일</v>
      </c>
      <c r="D336" s="19" t="str">
        <f t="shared" si="17"/>
        <v>Y</v>
      </c>
    </row>
    <row r="337" spans="1:4" x14ac:dyDescent="0.3">
      <c r="A337" s="18">
        <f t="shared" si="15"/>
        <v>333</v>
      </c>
      <c r="B337" s="24">
        <f t="shared" si="16"/>
        <v>44529</v>
      </c>
      <c r="C337" s="19" t="str" cm="1">
        <f t="array" ref="C337">IFERROR(_xlfn.IFS(WEEKDAY(B337-1)=1,"월",WEEKDAY(B337-1)=2,"화",WEEKDAY(B337-1)=3,"수",WEEKDAY(B337-1)=4,"목",WEEKDAY(B337-1)=5,"금",WEEKDAY(B337-1)=6,"토",WEEKDAY(B337-1)=7,"일"),"")</f>
        <v>월</v>
      </c>
      <c r="D337" s="19" t="str">
        <f t="shared" si="17"/>
        <v/>
      </c>
    </row>
    <row r="338" spans="1:4" x14ac:dyDescent="0.3">
      <c r="A338" s="18">
        <f t="shared" si="15"/>
        <v>334</v>
      </c>
      <c r="B338" s="24">
        <f t="shared" si="16"/>
        <v>44530</v>
      </c>
      <c r="C338" s="19" t="str" cm="1">
        <f t="array" ref="C338">IFERROR(_xlfn.IFS(WEEKDAY(B338-1)=1,"월",WEEKDAY(B338-1)=2,"화",WEEKDAY(B338-1)=3,"수",WEEKDAY(B338-1)=4,"목",WEEKDAY(B338-1)=5,"금",WEEKDAY(B338-1)=6,"토",WEEKDAY(B338-1)=7,"일"),"")</f>
        <v>화</v>
      </c>
      <c r="D338" s="19" t="str">
        <f t="shared" si="17"/>
        <v/>
      </c>
    </row>
    <row r="339" spans="1:4" x14ac:dyDescent="0.3">
      <c r="A339" s="18">
        <f t="shared" si="15"/>
        <v>335</v>
      </c>
      <c r="B339" s="24">
        <f t="shared" si="16"/>
        <v>44531</v>
      </c>
      <c r="C339" s="19" t="str" cm="1">
        <f t="array" ref="C339">IFERROR(_xlfn.IFS(WEEKDAY(B339-1)=1,"월",WEEKDAY(B339-1)=2,"화",WEEKDAY(B339-1)=3,"수",WEEKDAY(B339-1)=4,"목",WEEKDAY(B339-1)=5,"금",WEEKDAY(B339-1)=6,"토",WEEKDAY(B339-1)=7,"일"),"")</f>
        <v>수</v>
      </c>
      <c r="D339" s="19" t="str">
        <f t="shared" si="17"/>
        <v/>
      </c>
    </row>
    <row r="340" spans="1:4" x14ac:dyDescent="0.3">
      <c r="A340" s="18">
        <f t="shared" si="15"/>
        <v>336</v>
      </c>
      <c r="B340" s="24">
        <f t="shared" si="16"/>
        <v>44532</v>
      </c>
      <c r="C340" s="19" t="str" cm="1">
        <f t="array" ref="C340">IFERROR(_xlfn.IFS(WEEKDAY(B340-1)=1,"월",WEEKDAY(B340-1)=2,"화",WEEKDAY(B340-1)=3,"수",WEEKDAY(B340-1)=4,"목",WEEKDAY(B340-1)=5,"금",WEEKDAY(B340-1)=6,"토",WEEKDAY(B340-1)=7,"일"),"")</f>
        <v>목</v>
      </c>
      <c r="D340" s="19" t="str">
        <f t="shared" si="17"/>
        <v/>
      </c>
    </row>
    <row r="341" spans="1:4" x14ac:dyDescent="0.3">
      <c r="A341" s="18">
        <f t="shared" si="15"/>
        <v>337</v>
      </c>
      <c r="B341" s="24">
        <f t="shared" si="16"/>
        <v>44533</v>
      </c>
      <c r="C341" s="19" t="str" cm="1">
        <f t="array" ref="C341">IFERROR(_xlfn.IFS(WEEKDAY(B341-1)=1,"월",WEEKDAY(B341-1)=2,"화",WEEKDAY(B341-1)=3,"수",WEEKDAY(B341-1)=4,"목",WEEKDAY(B341-1)=5,"금",WEEKDAY(B341-1)=6,"토",WEEKDAY(B341-1)=7,"일"),"")</f>
        <v>금</v>
      </c>
      <c r="D341" s="19" t="str">
        <f t="shared" si="17"/>
        <v/>
      </c>
    </row>
    <row r="342" spans="1:4" x14ac:dyDescent="0.3">
      <c r="A342" s="18">
        <f t="shared" si="15"/>
        <v>338</v>
      </c>
      <c r="B342" s="24">
        <f t="shared" si="16"/>
        <v>44534</v>
      </c>
      <c r="C342" s="19" t="str" cm="1">
        <f t="array" ref="C342">IFERROR(_xlfn.IFS(WEEKDAY(B342-1)=1,"월",WEEKDAY(B342-1)=2,"화",WEEKDAY(B342-1)=3,"수",WEEKDAY(B342-1)=4,"목",WEEKDAY(B342-1)=5,"금",WEEKDAY(B342-1)=6,"토",WEEKDAY(B342-1)=7,"일"),"")</f>
        <v>토</v>
      </c>
      <c r="D342" s="19" t="str">
        <f t="shared" si="17"/>
        <v>Y</v>
      </c>
    </row>
    <row r="343" spans="1:4" x14ac:dyDescent="0.3">
      <c r="A343" s="18">
        <f t="shared" si="15"/>
        <v>339</v>
      </c>
      <c r="B343" s="24">
        <f t="shared" si="16"/>
        <v>44535</v>
      </c>
      <c r="C343" s="19" t="str" cm="1">
        <f t="array" ref="C343">IFERROR(_xlfn.IFS(WEEKDAY(B343-1)=1,"월",WEEKDAY(B343-1)=2,"화",WEEKDAY(B343-1)=3,"수",WEEKDAY(B343-1)=4,"목",WEEKDAY(B343-1)=5,"금",WEEKDAY(B343-1)=6,"토",WEEKDAY(B343-1)=7,"일"),"")</f>
        <v>일</v>
      </c>
      <c r="D343" s="19" t="str">
        <f t="shared" si="17"/>
        <v>Y</v>
      </c>
    </row>
    <row r="344" spans="1:4" x14ac:dyDescent="0.3">
      <c r="A344" s="18">
        <f t="shared" si="15"/>
        <v>340</v>
      </c>
      <c r="B344" s="24">
        <f t="shared" si="16"/>
        <v>44536</v>
      </c>
      <c r="C344" s="19" t="str" cm="1">
        <f t="array" ref="C344">IFERROR(_xlfn.IFS(WEEKDAY(B344-1)=1,"월",WEEKDAY(B344-1)=2,"화",WEEKDAY(B344-1)=3,"수",WEEKDAY(B344-1)=4,"목",WEEKDAY(B344-1)=5,"금",WEEKDAY(B344-1)=6,"토",WEEKDAY(B344-1)=7,"일"),"")</f>
        <v>월</v>
      </c>
      <c r="D344" s="19" t="str">
        <f t="shared" si="17"/>
        <v/>
      </c>
    </row>
    <row r="345" spans="1:4" x14ac:dyDescent="0.3">
      <c r="A345" s="18">
        <f t="shared" si="15"/>
        <v>341</v>
      </c>
      <c r="B345" s="24">
        <f t="shared" si="16"/>
        <v>44537</v>
      </c>
      <c r="C345" s="19" t="str" cm="1">
        <f t="array" ref="C345">IFERROR(_xlfn.IFS(WEEKDAY(B345-1)=1,"월",WEEKDAY(B345-1)=2,"화",WEEKDAY(B345-1)=3,"수",WEEKDAY(B345-1)=4,"목",WEEKDAY(B345-1)=5,"금",WEEKDAY(B345-1)=6,"토",WEEKDAY(B345-1)=7,"일"),"")</f>
        <v>화</v>
      </c>
      <c r="D345" s="19" t="str">
        <f t="shared" si="17"/>
        <v/>
      </c>
    </row>
    <row r="346" spans="1:4" x14ac:dyDescent="0.3">
      <c r="A346" s="18">
        <f t="shared" si="15"/>
        <v>342</v>
      </c>
      <c r="B346" s="24">
        <f t="shared" si="16"/>
        <v>44538</v>
      </c>
      <c r="C346" s="19" t="str" cm="1">
        <f t="array" ref="C346">IFERROR(_xlfn.IFS(WEEKDAY(B346-1)=1,"월",WEEKDAY(B346-1)=2,"화",WEEKDAY(B346-1)=3,"수",WEEKDAY(B346-1)=4,"목",WEEKDAY(B346-1)=5,"금",WEEKDAY(B346-1)=6,"토",WEEKDAY(B346-1)=7,"일"),"")</f>
        <v>수</v>
      </c>
      <c r="D346" s="19" t="str">
        <f t="shared" si="17"/>
        <v/>
      </c>
    </row>
    <row r="347" spans="1:4" x14ac:dyDescent="0.3">
      <c r="A347" s="18">
        <f t="shared" si="15"/>
        <v>343</v>
      </c>
      <c r="B347" s="24">
        <f t="shared" si="16"/>
        <v>44539</v>
      </c>
      <c r="C347" s="19" t="str" cm="1">
        <f t="array" ref="C347">IFERROR(_xlfn.IFS(WEEKDAY(B347-1)=1,"월",WEEKDAY(B347-1)=2,"화",WEEKDAY(B347-1)=3,"수",WEEKDAY(B347-1)=4,"목",WEEKDAY(B347-1)=5,"금",WEEKDAY(B347-1)=6,"토",WEEKDAY(B347-1)=7,"일"),"")</f>
        <v>목</v>
      </c>
      <c r="D347" s="19" t="str">
        <f t="shared" si="17"/>
        <v/>
      </c>
    </row>
    <row r="348" spans="1:4" x14ac:dyDescent="0.3">
      <c r="A348" s="18">
        <f t="shared" si="15"/>
        <v>344</v>
      </c>
      <c r="B348" s="24">
        <f t="shared" si="16"/>
        <v>44540</v>
      </c>
      <c r="C348" s="19" t="str" cm="1">
        <f t="array" ref="C348">IFERROR(_xlfn.IFS(WEEKDAY(B348-1)=1,"월",WEEKDAY(B348-1)=2,"화",WEEKDAY(B348-1)=3,"수",WEEKDAY(B348-1)=4,"목",WEEKDAY(B348-1)=5,"금",WEEKDAY(B348-1)=6,"토",WEEKDAY(B348-1)=7,"일"),"")</f>
        <v>금</v>
      </c>
      <c r="D348" s="19" t="str">
        <f t="shared" si="17"/>
        <v/>
      </c>
    </row>
    <row r="349" spans="1:4" x14ac:dyDescent="0.3">
      <c r="A349" s="18">
        <f t="shared" si="15"/>
        <v>345</v>
      </c>
      <c r="B349" s="24">
        <f t="shared" si="16"/>
        <v>44541</v>
      </c>
      <c r="C349" s="19" t="str" cm="1">
        <f t="array" ref="C349">IFERROR(_xlfn.IFS(WEEKDAY(B349-1)=1,"월",WEEKDAY(B349-1)=2,"화",WEEKDAY(B349-1)=3,"수",WEEKDAY(B349-1)=4,"목",WEEKDAY(B349-1)=5,"금",WEEKDAY(B349-1)=6,"토",WEEKDAY(B349-1)=7,"일"),"")</f>
        <v>토</v>
      </c>
      <c r="D349" s="19" t="str">
        <f t="shared" si="17"/>
        <v>Y</v>
      </c>
    </row>
    <row r="350" spans="1:4" x14ac:dyDescent="0.3">
      <c r="A350" s="18">
        <f t="shared" si="15"/>
        <v>346</v>
      </c>
      <c r="B350" s="24">
        <f t="shared" si="16"/>
        <v>44542</v>
      </c>
      <c r="C350" s="19" t="str" cm="1">
        <f t="array" ref="C350">IFERROR(_xlfn.IFS(WEEKDAY(B350-1)=1,"월",WEEKDAY(B350-1)=2,"화",WEEKDAY(B350-1)=3,"수",WEEKDAY(B350-1)=4,"목",WEEKDAY(B350-1)=5,"금",WEEKDAY(B350-1)=6,"토",WEEKDAY(B350-1)=7,"일"),"")</f>
        <v>일</v>
      </c>
      <c r="D350" s="19" t="str">
        <f t="shared" si="17"/>
        <v>Y</v>
      </c>
    </row>
    <row r="351" spans="1:4" x14ac:dyDescent="0.3">
      <c r="A351" s="18">
        <f t="shared" si="15"/>
        <v>347</v>
      </c>
      <c r="B351" s="24">
        <f t="shared" si="16"/>
        <v>44543</v>
      </c>
      <c r="C351" s="19" t="str" cm="1">
        <f t="array" ref="C351">IFERROR(_xlfn.IFS(WEEKDAY(B351-1)=1,"월",WEEKDAY(B351-1)=2,"화",WEEKDAY(B351-1)=3,"수",WEEKDAY(B351-1)=4,"목",WEEKDAY(B351-1)=5,"금",WEEKDAY(B351-1)=6,"토",WEEKDAY(B351-1)=7,"일"),"")</f>
        <v>월</v>
      </c>
      <c r="D351" s="19" t="str">
        <f t="shared" si="17"/>
        <v/>
      </c>
    </row>
    <row r="352" spans="1:4" x14ac:dyDescent="0.3">
      <c r="A352" s="18">
        <f t="shared" si="15"/>
        <v>348</v>
      </c>
      <c r="B352" s="24">
        <f t="shared" si="16"/>
        <v>44544</v>
      </c>
      <c r="C352" s="19" t="str" cm="1">
        <f t="array" ref="C352">IFERROR(_xlfn.IFS(WEEKDAY(B352-1)=1,"월",WEEKDAY(B352-1)=2,"화",WEEKDAY(B352-1)=3,"수",WEEKDAY(B352-1)=4,"목",WEEKDAY(B352-1)=5,"금",WEEKDAY(B352-1)=6,"토",WEEKDAY(B352-1)=7,"일"),"")</f>
        <v>화</v>
      </c>
      <c r="D352" s="19" t="str">
        <f t="shared" si="17"/>
        <v/>
      </c>
    </row>
    <row r="353" spans="1:4" x14ac:dyDescent="0.3">
      <c r="A353" s="18">
        <f t="shared" si="15"/>
        <v>349</v>
      </c>
      <c r="B353" s="24">
        <f t="shared" si="16"/>
        <v>44545</v>
      </c>
      <c r="C353" s="19" t="str" cm="1">
        <f t="array" ref="C353">IFERROR(_xlfn.IFS(WEEKDAY(B353-1)=1,"월",WEEKDAY(B353-1)=2,"화",WEEKDAY(B353-1)=3,"수",WEEKDAY(B353-1)=4,"목",WEEKDAY(B353-1)=5,"금",WEEKDAY(B353-1)=6,"토",WEEKDAY(B353-1)=7,"일"),"")</f>
        <v>수</v>
      </c>
      <c r="D353" s="19" t="str">
        <f t="shared" si="17"/>
        <v/>
      </c>
    </row>
    <row r="354" spans="1:4" x14ac:dyDescent="0.3">
      <c r="A354" s="18">
        <f t="shared" si="15"/>
        <v>350</v>
      </c>
      <c r="B354" s="24">
        <f t="shared" si="16"/>
        <v>44546</v>
      </c>
      <c r="C354" s="19" t="str" cm="1">
        <f t="array" ref="C354">IFERROR(_xlfn.IFS(WEEKDAY(B354-1)=1,"월",WEEKDAY(B354-1)=2,"화",WEEKDAY(B354-1)=3,"수",WEEKDAY(B354-1)=4,"목",WEEKDAY(B354-1)=5,"금",WEEKDAY(B354-1)=6,"토",WEEKDAY(B354-1)=7,"일"),"")</f>
        <v>목</v>
      </c>
      <c r="D354" s="19" t="str">
        <f t="shared" si="17"/>
        <v/>
      </c>
    </row>
    <row r="355" spans="1:4" x14ac:dyDescent="0.3">
      <c r="A355" s="18">
        <f t="shared" si="15"/>
        <v>351</v>
      </c>
      <c r="B355" s="24">
        <f t="shared" si="16"/>
        <v>44547</v>
      </c>
      <c r="C355" s="19" t="str" cm="1">
        <f t="array" ref="C355">IFERROR(_xlfn.IFS(WEEKDAY(B355-1)=1,"월",WEEKDAY(B355-1)=2,"화",WEEKDAY(B355-1)=3,"수",WEEKDAY(B355-1)=4,"목",WEEKDAY(B355-1)=5,"금",WEEKDAY(B355-1)=6,"토",WEEKDAY(B355-1)=7,"일"),"")</f>
        <v>금</v>
      </c>
      <c r="D355" s="19" t="str">
        <f t="shared" si="17"/>
        <v/>
      </c>
    </row>
    <row r="356" spans="1:4" x14ac:dyDescent="0.3">
      <c r="A356" s="18">
        <f t="shared" si="15"/>
        <v>352</v>
      </c>
      <c r="B356" s="24">
        <f t="shared" si="16"/>
        <v>44548</v>
      </c>
      <c r="C356" s="19" t="str" cm="1">
        <f t="array" ref="C356">IFERROR(_xlfn.IFS(WEEKDAY(B356-1)=1,"월",WEEKDAY(B356-1)=2,"화",WEEKDAY(B356-1)=3,"수",WEEKDAY(B356-1)=4,"목",WEEKDAY(B356-1)=5,"금",WEEKDAY(B356-1)=6,"토",WEEKDAY(B356-1)=7,"일"),"")</f>
        <v>토</v>
      </c>
      <c r="D356" s="19" t="str">
        <f t="shared" si="17"/>
        <v>Y</v>
      </c>
    </row>
    <row r="357" spans="1:4" x14ac:dyDescent="0.3">
      <c r="A357" s="18">
        <f t="shared" si="15"/>
        <v>353</v>
      </c>
      <c r="B357" s="24">
        <f t="shared" si="16"/>
        <v>44549</v>
      </c>
      <c r="C357" s="19" t="str" cm="1">
        <f t="array" ref="C357">IFERROR(_xlfn.IFS(WEEKDAY(B357-1)=1,"월",WEEKDAY(B357-1)=2,"화",WEEKDAY(B357-1)=3,"수",WEEKDAY(B357-1)=4,"목",WEEKDAY(B357-1)=5,"금",WEEKDAY(B357-1)=6,"토",WEEKDAY(B357-1)=7,"일"),"")</f>
        <v>일</v>
      </c>
      <c r="D357" s="19" t="str">
        <f t="shared" si="17"/>
        <v>Y</v>
      </c>
    </row>
    <row r="358" spans="1:4" x14ac:dyDescent="0.3">
      <c r="A358" s="18">
        <f t="shared" si="15"/>
        <v>354</v>
      </c>
      <c r="B358" s="24">
        <f t="shared" si="16"/>
        <v>44550</v>
      </c>
      <c r="C358" s="19" t="str" cm="1">
        <f t="array" ref="C358">IFERROR(_xlfn.IFS(WEEKDAY(B358-1)=1,"월",WEEKDAY(B358-1)=2,"화",WEEKDAY(B358-1)=3,"수",WEEKDAY(B358-1)=4,"목",WEEKDAY(B358-1)=5,"금",WEEKDAY(B358-1)=6,"토",WEEKDAY(B358-1)=7,"일"),"")</f>
        <v>월</v>
      </c>
      <c r="D358" s="19" t="str">
        <f t="shared" si="17"/>
        <v/>
      </c>
    </row>
    <row r="359" spans="1:4" x14ac:dyDescent="0.3">
      <c r="A359" s="18">
        <f t="shared" si="15"/>
        <v>355</v>
      </c>
      <c r="B359" s="24">
        <f t="shared" si="16"/>
        <v>44551</v>
      </c>
      <c r="C359" s="19" t="str" cm="1">
        <f t="array" ref="C359">IFERROR(_xlfn.IFS(WEEKDAY(B359-1)=1,"월",WEEKDAY(B359-1)=2,"화",WEEKDAY(B359-1)=3,"수",WEEKDAY(B359-1)=4,"목",WEEKDAY(B359-1)=5,"금",WEEKDAY(B359-1)=6,"토",WEEKDAY(B359-1)=7,"일"),"")</f>
        <v>화</v>
      </c>
      <c r="D359" s="19" t="str">
        <f t="shared" si="17"/>
        <v/>
      </c>
    </row>
    <row r="360" spans="1:4" x14ac:dyDescent="0.3">
      <c r="A360" s="18">
        <f t="shared" si="15"/>
        <v>356</v>
      </c>
      <c r="B360" s="24">
        <f t="shared" si="16"/>
        <v>44552</v>
      </c>
      <c r="C360" s="19" t="str" cm="1">
        <f t="array" ref="C360">IFERROR(_xlfn.IFS(WEEKDAY(B360-1)=1,"월",WEEKDAY(B360-1)=2,"화",WEEKDAY(B360-1)=3,"수",WEEKDAY(B360-1)=4,"목",WEEKDAY(B360-1)=5,"금",WEEKDAY(B360-1)=6,"토",WEEKDAY(B360-1)=7,"일"),"")</f>
        <v>수</v>
      </c>
      <c r="D360" s="19" t="str">
        <f t="shared" si="17"/>
        <v/>
      </c>
    </row>
    <row r="361" spans="1:4" x14ac:dyDescent="0.3">
      <c r="A361" s="18">
        <f t="shared" si="15"/>
        <v>357</v>
      </c>
      <c r="B361" s="24">
        <f t="shared" si="16"/>
        <v>44553</v>
      </c>
      <c r="C361" s="19" t="str" cm="1">
        <f t="array" ref="C361">IFERROR(_xlfn.IFS(WEEKDAY(B361-1)=1,"월",WEEKDAY(B361-1)=2,"화",WEEKDAY(B361-1)=3,"수",WEEKDAY(B361-1)=4,"목",WEEKDAY(B361-1)=5,"금",WEEKDAY(B361-1)=6,"토",WEEKDAY(B361-1)=7,"일"),"")</f>
        <v>목</v>
      </c>
      <c r="D361" s="19" t="str">
        <f t="shared" si="17"/>
        <v/>
      </c>
    </row>
    <row r="362" spans="1:4" x14ac:dyDescent="0.3">
      <c r="A362" s="18">
        <f t="shared" si="15"/>
        <v>358</v>
      </c>
      <c r="B362" s="24">
        <f t="shared" si="16"/>
        <v>44554</v>
      </c>
      <c r="C362" s="19" t="str" cm="1">
        <f t="array" ref="C362">IFERROR(_xlfn.IFS(WEEKDAY(B362-1)=1,"월",WEEKDAY(B362-1)=2,"화",WEEKDAY(B362-1)=3,"수",WEEKDAY(B362-1)=4,"목",WEEKDAY(B362-1)=5,"금",WEEKDAY(B362-1)=6,"토",WEEKDAY(B362-1)=7,"일"),"")</f>
        <v>금</v>
      </c>
      <c r="D362" s="19" t="str">
        <f t="shared" si="17"/>
        <v/>
      </c>
    </row>
    <row r="363" spans="1:4" x14ac:dyDescent="0.3">
      <c r="A363" s="18">
        <f t="shared" si="15"/>
        <v>359</v>
      </c>
      <c r="B363" s="24">
        <f t="shared" si="16"/>
        <v>44555</v>
      </c>
      <c r="C363" s="19" t="str" cm="1">
        <f t="array" ref="C363">IFERROR(_xlfn.IFS(WEEKDAY(B363-1)=1,"월",WEEKDAY(B363-1)=2,"화",WEEKDAY(B363-1)=3,"수",WEEKDAY(B363-1)=4,"목",WEEKDAY(B363-1)=5,"금",WEEKDAY(B363-1)=6,"토",WEEKDAY(B363-1)=7,"일"),"")</f>
        <v>토</v>
      </c>
      <c r="D363" s="19" t="str">
        <f t="shared" si="17"/>
        <v>Y</v>
      </c>
    </row>
    <row r="364" spans="1:4" x14ac:dyDescent="0.3">
      <c r="A364" s="18">
        <f t="shared" si="15"/>
        <v>360</v>
      </c>
      <c r="B364" s="24">
        <f t="shared" si="16"/>
        <v>44556</v>
      </c>
      <c r="C364" s="19" t="str" cm="1">
        <f t="array" ref="C364">IFERROR(_xlfn.IFS(WEEKDAY(B364-1)=1,"월",WEEKDAY(B364-1)=2,"화",WEEKDAY(B364-1)=3,"수",WEEKDAY(B364-1)=4,"목",WEEKDAY(B364-1)=5,"금",WEEKDAY(B364-1)=6,"토",WEEKDAY(B364-1)=7,"일"),"")</f>
        <v>일</v>
      </c>
      <c r="D364" s="19" t="str">
        <f t="shared" si="17"/>
        <v>Y</v>
      </c>
    </row>
    <row r="365" spans="1:4" x14ac:dyDescent="0.3">
      <c r="A365" s="18">
        <f t="shared" si="15"/>
        <v>361</v>
      </c>
      <c r="B365" s="24">
        <f t="shared" si="16"/>
        <v>44557</v>
      </c>
      <c r="C365" s="19" t="str" cm="1">
        <f t="array" ref="C365">IFERROR(_xlfn.IFS(WEEKDAY(B365-1)=1,"월",WEEKDAY(B365-1)=2,"화",WEEKDAY(B365-1)=3,"수",WEEKDAY(B365-1)=4,"목",WEEKDAY(B365-1)=5,"금",WEEKDAY(B365-1)=6,"토",WEEKDAY(B365-1)=7,"일"),"")</f>
        <v>월</v>
      </c>
      <c r="D365" s="19" t="str">
        <f t="shared" si="17"/>
        <v/>
      </c>
    </row>
    <row r="366" spans="1:4" x14ac:dyDescent="0.3">
      <c r="A366" s="18">
        <f t="shared" si="15"/>
        <v>362</v>
      </c>
      <c r="B366" s="24">
        <f t="shared" si="16"/>
        <v>44558</v>
      </c>
      <c r="C366" s="19" t="str" cm="1">
        <f t="array" ref="C366">IFERROR(_xlfn.IFS(WEEKDAY(B366-1)=1,"월",WEEKDAY(B366-1)=2,"화",WEEKDAY(B366-1)=3,"수",WEEKDAY(B366-1)=4,"목",WEEKDAY(B366-1)=5,"금",WEEKDAY(B366-1)=6,"토",WEEKDAY(B366-1)=7,"일"),"")</f>
        <v>화</v>
      </c>
      <c r="D366" s="19" t="str">
        <f t="shared" si="17"/>
        <v/>
      </c>
    </row>
    <row r="367" spans="1:4" x14ac:dyDescent="0.3">
      <c r="A367" s="18">
        <f t="shared" si="15"/>
        <v>363</v>
      </c>
      <c r="B367" s="24">
        <f t="shared" si="16"/>
        <v>44559</v>
      </c>
      <c r="C367" s="19" t="str" cm="1">
        <f t="array" ref="C367">IFERROR(_xlfn.IFS(WEEKDAY(B367-1)=1,"월",WEEKDAY(B367-1)=2,"화",WEEKDAY(B367-1)=3,"수",WEEKDAY(B367-1)=4,"목",WEEKDAY(B367-1)=5,"금",WEEKDAY(B367-1)=6,"토",WEEKDAY(B367-1)=7,"일"),"")</f>
        <v>수</v>
      </c>
      <c r="D367" s="19" t="str">
        <f t="shared" si="17"/>
        <v/>
      </c>
    </row>
    <row r="368" spans="1:4" x14ac:dyDescent="0.3">
      <c r="A368" s="18">
        <f t="shared" si="15"/>
        <v>364</v>
      </c>
      <c r="B368" s="24">
        <f t="shared" si="16"/>
        <v>44560</v>
      </c>
      <c r="C368" s="19" t="str" cm="1">
        <f t="array" ref="C368">IFERROR(_xlfn.IFS(WEEKDAY(B368-1)=1,"월",WEEKDAY(B368-1)=2,"화",WEEKDAY(B368-1)=3,"수",WEEKDAY(B368-1)=4,"목",WEEKDAY(B368-1)=5,"금",WEEKDAY(B368-1)=6,"토",WEEKDAY(B368-1)=7,"일"),"")</f>
        <v>목</v>
      </c>
      <c r="D368" s="19" t="str">
        <f t="shared" si="17"/>
        <v/>
      </c>
    </row>
    <row r="369" spans="1:4" x14ac:dyDescent="0.3">
      <c r="A369" s="18">
        <f t="shared" si="15"/>
        <v>365</v>
      </c>
      <c r="B369" s="24">
        <f t="shared" si="16"/>
        <v>44561</v>
      </c>
      <c r="C369" s="19" t="str" cm="1">
        <f t="array" ref="C369">IFERROR(_xlfn.IFS(WEEKDAY(B369-1)=1,"월",WEEKDAY(B369-1)=2,"화",WEEKDAY(B369-1)=3,"수",WEEKDAY(B369-1)=4,"목",WEEKDAY(B369-1)=5,"금",WEEKDAY(B369-1)=6,"토",WEEKDAY(B369-1)=7,"일"),"")</f>
        <v>금</v>
      </c>
      <c r="D369" s="19" t="str">
        <f t="shared" si="17"/>
        <v/>
      </c>
    </row>
    <row r="370" spans="1:4" x14ac:dyDescent="0.3">
      <c r="A370" s="18" t="str">
        <f t="shared" si="15"/>
        <v/>
      </c>
      <c r="B370" s="24" t="str">
        <f t="shared" si="16"/>
        <v/>
      </c>
      <c r="C370" s="19" t="str" cm="1">
        <f t="array" ref="C370">IFERROR(_xlfn.IFS(WEEKDAY(B370-1)=1,"월",WEEKDAY(B370-1)=2,"화",WEEKDAY(B370-1)=3,"수",WEEKDAY(B370-1)=4,"목",WEEKDAY(B370-1)=5,"금",WEEKDAY(B370-1)=6,"토",WEEKDAY(B370-1)=7,"일"),"")</f>
        <v/>
      </c>
      <c r="D370" s="19" t="str">
        <f t="shared" si="17"/>
        <v/>
      </c>
    </row>
    <row r="371" spans="1:4" x14ac:dyDescent="0.3">
      <c r="A371" s="18"/>
      <c r="B371" s="24"/>
    </row>
    <row r="372" spans="1:4" x14ac:dyDescent="0.3">
      <c r="A372" s="18"/>
      <c r="B372" s="24"/>
    </row>
    <row r="373" spans="1:4" x14ac:dyDescent="0.3">
      <c r="A373" s="18"/>
      <c r="B373" s="24"/>
    </row>
    <row r="374" spans="1:4" x14ac:dyDescent="0.3">
      <c r="A374" s="18"/>
      <c r="B374" s="24"/>
    </row>
    <row r="375" spans="1:4" x14ac:dyDescent="0.3">
      <c r="A375" s="18"/>
      <c r="B375" s="24"/>
    </row>
    <row r="376" spans="1:4" x14ac:dyDescent="0.3">
      <c r="A376" s="18"/>
      <c r="B376" s="24"/>
    </row>
    <row r="377" spans="1:4" x14ac:dyDescent="0.3">
      <c r="A377" s="18"/>
      <c r="B377" s="24"/>
    </row>
    <row r="378" spans="1:4" x14ac:dyDescent="0.3">
      <c r="A378" s="18"/>
      <c r="B378" s="24"/>
    </row>
    <row r="379" spans="1:4" x14ac:dyDescent="0.3">
      <c r="A379" s="18"/>
      <c r="B379" s="24"/>
    </row>
    <row r="380" spans="1:4" x14ac:dyDescent="0.3">
      <c r="A380" s="18"/>
      <c r="B380" s="24"/>
    </row>
    <row r="381" spans="1:4" x14ac:dyDescent="0.3">
      <c r="A381" s="18"/>
      <c r="B381" s="24"/>
    </row>
    <row r="382" spans="1:4" x14ac:dyDescent="0.3">
      <c r="A382" s="18"/>
      <c r="B382" s="24"/>
    </row>
    <row r="383" spans="1:4" x14ac:dyDescent="0.3">
      <c r="A383" s="18"/>
      <c r="B383" s="24"/>
    </row>
    <row r="384" spans="1:4" x14ac:dyDescent="0.3">
      <c r="A384" s="18"/>
      <c r="B384" s="24"/>
    </row>
    <row r="385" spans="1:2" x14ac:dyDescent="0.3">
      <c r="A385" s="18"/>
      <c r="B385" s="24"/>
    </row>
    <row r="386" spans="1:2" x14ac:dyDescent="0.3">
      <c r="A386" s="18"/>
      <c r="B386" s="24"/>
    </row>
    <row r="387" spans="1:2" x14ac:dyDescent="0.3">
      <c r="A387" s="18"/>
      <c r="B387" s="24"/>
    </row>
    <row r="388" spans="1:2" x14ac:dyDescent="0.3">
      <c r="A388" s="18"/>
      <c r="B388" s="24"/>
    </row>
    <row r="389" spans="1:2" x14ac:dyDescent="0.3">
      <c r="A389" s="18"/>
      <c r="B389" s="24"/>
    </row>
    <row r="390" spans="1:2" x14ac:dyDescent="0.3">
      <c r="A390" s="18"/>
      <c r="B390" s="24"/>
    </row>
    <row r="391" spans="1:2" x14ac:dyDescent="0.3">
      <c r="A391" s="18"/>
      <c r="B391" s="24"/>
    </row>
    <row r="392" spans="1:2" x14ac:dyDescent="0.3">
      <c r="A392" s="18"/>
      <c r="B392" s="24"/>
    </row>
    <row r="393" spans="1:2" x14ac:dyDescent="0.3">
      <c r="A393" s="18"/>
      <c r="B393" s="24"/>
    </row>
    <row r="394" spans="1:2" x14ac:dyDescent="0.3">
      <c r="A394" s="18"/>
      <c r="B394" s="24"/>
    </row>
    <row r="395" spans="1:2" x14ac:dyDescent="0.3">
      <c r="A395" s="18"/>
      <c r="B395" s="24"/>
    </row>
    <row r="396" spans="1:2" x14ac:dyDescent="0.3">
      <c r="A396" s="18"/>
      <c r="B396" s="24"/>
    </row>
    <row r="397" spans="1:2" x14ac:dyDescent="0.3">
      <c r="A397" s="18"/>
      <c r="B397" s="24"/>
    </row>
    <row r="398" spans="1:2" x14ac:dyDescent="0.3">
      <c r="A398" s="18"/>
      <c r="B398" s="24"/>
    </row>
    <row r="399" spans="1:2" x14ac:dyDescent="0.3">
      <c r="A399" s="18"/>
      <c r="B399" s="24"/>
    </row>
    <row r="400" spans="1:2" x14ac:dyDescent="0.3">
      <c r="A400" s="18"/>
      <c r="B400" s="24"/>
    </row>
    <row r="401" spans="1:1" x14ac:dyDescent="0.3">
      <c r="A401" s="18"/>
    </row>
    <row r="402" spans="1:1" x14ac:dyDescent="0.3">
      <c r="A402" s="18"/>
    </row>
    <row r="403" spans="1:1" x14ac:dyDescent="0.3">
      <c r="A403" s="18"/>
    </row>
    <row r="404" spans="1:1" x14ac:dyDescent="0.3">
      <c r="A404" s="18"/>
    </row>
    <row r="405" spans="1:1" x14ac:dyDescent="0.3">
      <c r="A405" s="18"/>
    </row>
    <row r="406" spans="1:1" x14ac:dyDescent="0.3">
      <c r="A406" s="18"/>
    </row>
    <row r="407" spans="1:1" x14ac:dyDescent="0.3">
      <c r="A407" s="18"/>
    </row>
    <row r="408" spans="1:1" x14ac:dyDescent="0.3">
      <c r="A408" s="18"/>
    </row>
    <row r="409" spans="1:1" x14ac:dyDescent="0.3">
      <c r="A409" s="18"/>
    </row>
    <row r="410" spans="1:1" x14ac:dyDescent="0.3">
      <c r="A410" s="18"/>
    </row>
    <row r="411" spans="1:1" x14ac:dyDescent="0.3">
      <c r="A411" s="18"/>
    </row>
    <row r="412" spans="1:1" x14ac:dyDescent="0.3">
      <c r="A412" s="18"/>
    </row>
    <row r="413" spans="1:1" x14ac:dyDescent="0.3">
      <c r="A413" s="18"/>
    </row>
    <row r="414" spans="1:1" x14ac:dyDescent="0.3">
      <c r="A414" s="18"/>
    </row>
    <row r="415" spans="1:1" x14ac:dyDescent="0.3">
      <c r="A415" s="18"/>
    </row>
    <row r="416" spans="1:1" x14ac:dyDescent="0.3">
      <c r="A416" s="18"/>
    </row>
    <row r="417" spans="1:1" x14ac:dyDescent="0.3">
      <c r="A417" s="18"/>
    </row>
    <row r="418" spans="1:1" x14ac:dyDescent="0.3">
      <c r="A418" s="18"/>
    </row>
    <row r="419" spans="1:1" x14ac:dyDescent="0.3">
      <c r="A419" s="18"/>
    </row>
    <row r="420" spans="1:1" x14ac:dyDescent="0.3">
      <c r="A420" s="18"/>
    </row>
    <row r="421" spans="1:1" x14ac:dyDescent="0.3">
      <c r="A421" s="18"/>
    </row>
    <row r="422" spans="1:1" x14ac:dyDescent="0.3">
      <c r="A422" s="18"/>
    </row>
    <row r="423" spans="1:1" x14ac:dyDescent="0.3">
      <c r="A423" s="18"/>
    </row>
    <row r="424" spans="1:1" x14ac:dyDescent="0.3">
      <c r="A424" s="18"/>
    </row>
    <row r="425" spans="1:1" x14ac:dyDescent="0.3">
      <c r="A425" s="18"/>
    </row>
    <row r="426" spans="1:1" x14ac:dyDescent="0.3">
      <c r="A426" s="18"/>
    </row>
    <row r="427" spans="1:1" x14ac:dyDescent="0.3">
      <c r="A427" s="18"/>
    </row>
    <row r="428" spans="1:1" x14ac:dyDescent="0.3">
      <c r="A428" s="18"/>
    </row>
    <row r="429" spans="1:1" x14ac:dyDescent="0.3">
      <c r="A429" s="18"/>
    </row>
    <row r="430" spans="1:1" x14ac:dyDescent="0.3">
      <c r="A430" s="18"/>
    </row>
    <row r="431" spans="1:1" x14ac:dyDescent="0.3">
      <c r="A431" s="18"/>
    </row>
    <row r="432" spans="1:1" x14ac:dyDescent="0.3">
      <c r="A432" s="18"/>
    </row>
    <row r="433" spans="1:1" x14ac:dyDescent="0.3">
      <c r="A433" s="18"/>
    </row>
    <row r="434" spans="1:1" x14ac:dyDescent="0.3">
      <c r="A434" s="18"/>
    </row>
    <row r="435" spans="1:1" x14ac:dyDescent="0.3">
      <c r="A435" s="18"/>
    </row>
    <row r="436" spans="1:1" x14ac:dyDescent="0.3">
      <c r="A436" s="18"/>
    </row>
    <row r="437" spans="1:1" x14ac:dyDescent="0.3">
      <c r="A437" s="18"/>
    </row>
    <row r="438" spans="1:1" x14ac:dyDescent="0.3">
      <c r="A438" s="18"/>
    </row>
    <row r="439" spans="1:1" x14ac:dyDescent="0.3">
      <c r="A439" s="18"/>
    </row>
    <row r="440" spans="1:1" x14ac:dyDescent="0.3">
      <c r="A440" s="18"/>
    </row>
    <row r="441" spans="1:1" x14ac:dyDescent="0.3">
      <c r="A441" s="18"/>
    </row>
    <row r="442" spans="1:1" x14ac:dyDescent="0.3">
      <c r="A442" s="18"/>
    </row>
    <row r="443" spans="1:1" x14ac:dyDescent="0.3">
      <c r="A443" s="18"/>
    </row>
    <row r="444" spans="1:1" x14ac:dyDescent="0.3">
      <c r="A444" s="18"/>
    </row>
    <row r="445" spans="1:1" x14ac:dyDescent="0.3">
      <c r="A445" s="18"/>
    </row>
    <row r="446" spans="1:1" x14ac:dyDescent="0.3">
      <c r="A446" s="18"/>
    </row>
    <row r="447" spans="1:1" x14ac:dyDescent="0.3">
      <c r="A447" s="18"/>
    </row>
    <row r="448" spans="1:1" x14ac:dyDescent="0.3">
      <c r="A448" s="18"/>
    </row>
    <row r="449" spans="1:1" x14ac:dyDescent="0.3">
      <c r="A449" s="18"/>
    </row>
    <row r="450" spans="1:1" x14ac:dyDescent="0.3">
      <c r="A450" s="18"/>
    </row>
    <row r="451" spans="1:1" x14ac:dyDescent="0.3">
      <c r="A451" s="18"/>
    </row>
    <row r="452" spans="1:1" x14ac:dyDescent="0.3">
      <c r="A452" s="18"/>
    </row>
    <row r="453" spans="1:1" x14ac:dyDescent="0.3">
      <c r="A453" s="18"/>
    </row>
    <row r="454" spans="1:1" x14ac:dyDescent="0.3">
      <c r="A454" s="18"/>
    </row>
    <row r="455" spans="1:1" x14ac:dyDescent="0.3">
      <c r="A455" s="18"/>
    </row>
    <row r="456" spans="1:1" x14ac:dyDescent="0.3">
      <c r="A456" s="18"/>
    </row>
    <row r="457" spans="1:1" x14ac:dyDescent="0.3">
      <c r="A457" s="18"/>
    </row>
    <row r="458" spans="1:1" x14ac:dyDescent="0.3">
      <c r="A458" s="18"/>
    </row>
    <row r="459" spans="1:1" x14ac:dyDescent="0.3">
      <c r="A459" s="18"/>
    </row>
    <row r="460" spans="1:1" x14ac:dyDescent="0.3">
      <c r="A460" s="18"/>
    </row>
    <row r="461" spans="1:1" x14ac:dyDescent="0.3">
      <c r="A461" s="18"/>
    </row>
    <row r="462" spans="1:1" x14ac:dyDescent="0.3">
      <c r="A462" s="18"/>
    </row>
    <row r="463" spans="1:1" x14ac:dyDescent="0.3">
      <c r="A463" s="18"/>
    </row>
    <row r="464" spans="1:1" x14ac:dyDescent="0.3">
      <c r="A464" s="18"/>
    </row>
    <row r="465" spans="1:1" x14ac:dyDescent="0.3">
      <c r="A465" s="18"/>
    </row>
    <row r="466" spans="1:1" x14ac:dyDescent="0.3">
      <c r="A466" s="18"/>
    </row>
    <row r="467" spans="1:1" x14ac:dyDescent="0.3">
      <c r="A467" s="18"/>
    </row>
    <row r="468" spans="1:1" x14ac:dyDescent="0.3">
      <c r="A468" s="18"/>
    </row>
    <row r="469" spans="1:1" x14ac:dyDescent="0.3">
      <c r="A469" s="18"/>
    </row>
    <row r="470" spans="1:1" x14ac:dyDescent="0.3">
      <c r="A470" s="18"/>
    </row>
    <row r="471" spans="1:1" x14ac:dyDescent="0.3">
      <c r="A471" s="18"/>
    </row>
    <row r="472" spans="1:1" x14ac:dyDescent="0.3">
      <c r="A472" s="18"/>
    </row>
    <row r="473" spans="1:1" x14ac:dyDescent="0.3">
      <c r="A473" s="18"/>
    </row>
    <row r="474" spans="1:1" x14ac:dyDescent="0.3">
      <c r="A474" s="18"/>
    </row>
    <row r="475" spans="1:1" x14ac:dyDescent="0.3">
      <c r="A475" s="18"/>
    </row>
    <row r="476" spans="1:1" x14ac:dyDescent="0.3">
      <c r="A476" s="18"/>
    </row>
    <row r="477" spans="1:1" x14ac:dyDescent="0.3">
      <c r="A477" s="18"/>
    </row>
    <row r="478" spans="1:1" x14ac:dyDescent="0.3">
      <c r="A478" s="18"/>
    </row>
    <row r="479" spans="1:1" x14ac:dyDescent="0.3">
      <c r="A479" s="18"/>
    </row>
    <row r="480" spans="1:1" x14ac:dyDescent="0.3">
      <c r="A480" s="18"/>
    </row>
    <row r="481" spans="1:1" x14ac:dyDescent="0.3">
      <c r="A481" s="18"/>
    </row>
    <row r="482" spans="1:1" x14ac:dyDescent="0.3">
      <c r="A482" s="18"/>
    </row>
    <row r="483" spans="1:1" x14ac:dyDescent="0.3">
      <c r="A483" s="18"/>
    </row>
    <row r="484" spans="1:1" x14ac:dyDescent="0.3">
      <c r="A484" s="18"/>
    </row>
    <row r="485" spans="1:1" x14ac:dyDescent="0.3">
      <c r="A485" s="18"/>
    </row>
    <row r="486" spans="1:1" x14ac:dyDescent="0.3">
      <c r="A486" s="18"/>
    </row>
    <row r="487" spans="1:1" x14ac:dyDescent="0.3">
      <c r="A487" s="18"/>
    </row>
    <row r="488" spans="1:1" x14ac:dyDescent="0.3">
      <c r="A488" s="18"/>
    </row>
    <row r="489" spans="1:1" x14ac:dyDescent="0.3">
      <c r="A489" s="18"/>
    </row>
    <row r="490" spans="1:1" x14ac:dyDescent="0.3">
      <c r="A490" s="18"/>
    </row>
    <row r="491" spans="1:1" x14ac:dyDescent="0.3">
      <c r="A491" s="18"/>
    </row>
    <row r="492" spans="1:1" x14ac:dyDescent="0.3">
      <c r="A492" s="18"/>
    </row>
    <row r="493" spans="1:1" x14ac:dyDescent="0.3">
      <c r="A493" s="18"/>
    </row>
    <row r="494" spans="1:1" x14ac:dyDescent="0.3">
      <c r="A494" s="18"/>
    </row>
    <row r="495" spans="1:1" x14ac:dyDescent="0.3">
      <c r="A495" s="18"/>
    </row>
    <row r="496" spans="1:1" x14ac:dyDescent="0.3">
      <c r="A496" s="18"/>
    </row>
    <row r="497" spans="1:1" x14ac:dyDescent="0.3">
      <c r="A497" s="18"/>
    </row>
    <row r="498" spans="1:1" x14ac:dyDescent="0.3">
      <c r="A498" s="18"/>
    </row>
    <row r="499" spans="1:1" x14ac:dyDescent="0.3">
      <c r="A499" s="18"/>
    </row>
    <row r="500" spans="1:1" x14ac:dyDescent="0.3">
      <c r="A500" s="18"/>
    </row>
    <row r="501" spans="1:1" x14ac:dyDescent="0.3">
      <c r="A501" s="18"/>
    </row>
    <row r="502" spans="1:1" x14ac:dyDescent="0.3">
      <c r="A502" s="18"/>
    </row>
    <row r="503" spans="1:1" x14ac:dyDescent="0.3">
      <c r="A503" s="18"/>
    </row>
    <row r="504" spans="1:1" x14ac:dyDescent="0.3">
      <c r="A504" s="18"/>
    </row>
    <row r="505" spans="1:1" x14ac:dyDescent="0.3">
      <c r="A505" s="18"/>
    </row>
    <row r="506" spans="1:1" x14ac:dyDescent="0.3">
      <c r="A506" s="18"/>
    </row>
    <row r="507" spans="1:1" x14ac:dyDescent="0.3">
      <c r="A507" s="18"/>
    </row>
    <row r="508" spans="1:1" x14ac:dyDescent="0.3">
      <c r="A508" s="18"/>
    </row>
    <row r="509" spans="1:1" x14ac:dyDescent="0.3">
      <c r="A509" s="18"/>
    </row>
    <row r="510" spans="1:1" x14ac:dyDescent="0.3">
      <c r="A510" s="18"/>
    </row>
    <row r="511" spans="1:1" x14ac:dyDescent="0.3">
      <c r="A511" s="18"/>
    </row>
    <row r="512" spans="1:1" x14ac:dyDescent="0.3">
      <c r="A512" s="18"/>
    </row>
    <row r="513" spans="1:1" x14ac:dyDescent="0.3">
      <c r="A513" s="18"/>
    </row>
    <row r="514" spans="1:1" x14ac:dyDescent="0.3">
      <c r="A514" s="18"/>
    </row>
    <row r="515" spans="1:1" x14ac:dyDescent="0.3">
      <c r="A515" s="18"/>
    </row>
    <row r="516" spans="1:1" x14ac:dyDescent="0.3">
      <c r="A516" s="18"/>
    </row>
    <row r="517" spans="1:1" x14ac:dyDescent="0.3">
      <c r="A517" s="18"/>
    </row>
    <row r="518" spans="1:1" x14ac:dyDescent="0.3">
      <c r="A518" s="18"/>
    </row>
    <row r="519" spans="1:1" x14ac:dyDescent="0.3">
      <c r="A519" s="18"/>
    </row>
    <row r="520" spans="1:1" x14ac:dyDescent="0.3">
      <c r="A520" s="18"/>
    </row>
    <row r="521" spans="1:1" x14ac:dyDescent="0.3">
      <c r="A521" s="18"/>
    </row>
    <row r="522" spans="1:1" x14ac:dyDescent="0.3">
      <c r="A522" s="18"/>
    </row>
    <row r="523" spans="1:1" x14ac:dyDescent="0.3">
      <c r="A523" s="18"/>
    </row>
    <row r="524" spans="1:1" x14ac:dyDescent="0.3">
      <c r="A524" s="18"/>
    </row>
    <row r="525" spans="1:1" x14ac:dyDescent="0.3">
      <c r="A525" s="18"/>
    </row>
    <row r="526" spans="1:1" x14ac:dyDescent="0.3">
      <c r="A526" s="18"/>
    </row>
    <row r="527" spans="1:1" x14ac:dyDescent="0.3">
      <c r="A527" s="18"/>
    </row>
    <row r="528" spans="1:1" x14ac:dyDescent="0.3">
      <c r="A528" s="18"/>
    </row>
    <row r="529" spans="1:1" x14ac:dyDescent="0.3">
      <c r="A529" s="18"/>
    </row>
    <row r="530" spans="1:1" x14ac:dyDescent="0.3">
      <c r="A530" s="18"/>
    </row>
    <row r="531" spans="1:1" x14ac:dyDescent="0.3">
      <c r="A531" s="18"/>
    </row>
    <row r="532" spans="1:1" x14ac:dyDescent="0.3">
      <c r="A532" s="18"/>
    </row>
    <row r="533" spans="1:1" x14ac:dyDescent="0.3">
      <c r="A533" s="18"/>
    </row>
    <row r="534" spans="1:1" x14ac:dyDescent="0.3">
      <c r="A534" s="18"/>
    </row>
    <row r="535" spans="1:1" x14ac:dyDescent="0.3">
      <c r="A535" s="18"/>
    </row>
    <row r="536" spans="1:1" x14ac:dyDescent="0.3">
      <c r="A536" s="18"/>
    </row>
    <row r="537" spans="1:1" x14ac:dyDescent="0.3">
      <c r="A537" s="18"/>
    </row>
    <row r="538" spans="1:1" x14ac:dyDescent="0.3">
      <c r="A538" s="18"/>
    </row>
    <row r="539" spans="1:1" x14ac:dyDescent="0.3">
      <c r="A539" s="18"/>
    </row>
    <row r="540" spans="1:1" x14ac:dyDescent="0.3">
      <c r="A540" s="18"/>
    </row>
    <row r="541" spans="1:1" x14ac:dyDescent="0.3">
      <c r="A541" s="18"/>
    </row>
    <row r="542" spans="1:1" x14ac:dyDescent="0.3">
      <c r="A542" s="18"/>
    </row>
    <row r="543" spans="1:1" x14ac:dyDescent="0.3">
      <c r="A543" s="18"/>
    </row>
    <row r="544" spans="1:1" x14ac:dyDescent="0.3">
      <c r="A544" s="18"/>
    </row>
    <row r="545" spans="1:1" x14ac:dyDescent="0.3">
      <c r="A545" s="18"/>
    </row>
    <row r="546" spans="1:1" x14ac:dyDescent="0.3">
      <c r="A546" s="18"/>
    </row>
    <row r="547" spans="1:1" x14ac:dyDescent="0.3">
      <c r="A547" s="18"/>
    </row>
    <row r="548" spans="1:1" x14ac:dyDescent="0.3">
      <c r="A548" s="18"/>
    </row>
    <row r="549" spans="1:1" x14ac:dyDescent="0.3">
      <c r="A549" s="18"/>
    </row>
    <row r="550" spans="1:1" x14ac:dyDescent="0.3">
      <c r="A550" s="18"/>
    </row>
    <row r="551" spans="1:1" x14ac:dyDescent="0.3">
      <c r="A551" s="18"/>
    </row>
    <row r="552" spans="1:1" x14ac:dyDescent="0.3">
      <c r="A552" s="18"/>
    </row>
    <row r="553" spans="1:1" x14ac:dyDescent="0.3">
      <c r="A553" s="18"/>
    </row>
    <row r="554" spans="1:1" x14ac:dyDescent="0.3">
      <c r="A554" s="18"/>
    </row>
    <row r="555" spans="1:1" x14ac:dyDescent="0.3">
      <c r="A555" s="18"/>
    </row>
    <row r="556" spans="1:1" x14ac:dyDescent="0.3">
      <c r="A556" s="18"/>
    </row>
    <row r="557" spans="1:1" x14ac:dyDescent="0.3">
      <c r="A557" s="18"/>
    </row>
    <row r="558" spans="1:1" x14ac:dyDescent="0.3">
      <c r="A558" s="18"/>
    </row>
    <row r="559" spans="1:1" x14ac:dyDescent="0.3">
      <c r="A559" s="18"/>
    </row>
    <row r="560" spans="1:1" x14ac:dyDescent="0.3">
      <c r="A560" s="18"/>
    </row>
    <row r="561" spans="1:1" x14ac:dyDescent="0.3">
      <c r="A561" s="18"/>
    </row>
    <row r="562" spans="1:1" x14ac:dyDescent="0.3">
      <c r="A562" s="18"/>
    </row>
  </sheetData>
  <phoneticPr fontId="1" type="noConversion"/>
  <conditionalFormatting sqref="A5:E400">
    <cfRule type="expression" dxfId="13" priority="1">
      <formula>$A5 &lt;&gt;""</formula>
    </cfRule>
  </conditionalFormatting>
  <dataValidations count="1">
    <dataValidation type="list" allowBlank="1" showInputMessage="1" showErrorMessage="1" sqref="B1" xr:uid="{5A0A335F-AA50-49E4-B022-81E6F0D25851}">
      <formula1>년도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63CAC-28BE-4AA9-8B7A-50E2546FA693}">
  <sheetPr codeName="Sheet7"/>
  <dimension ref="A1:I30"/>
  <sheetViews>
    <sheetView workbookViewId="0">
      <selection activeCell="E51" sqref="E51"/>
    </sheetView>
  </sheetViews>
  <sheetFormatPr defaultRowHeight="16.5" x14ac:dyDescent="0.3"/>
  <cols>
    <col min="1" max="1" width="9" style="18"/>
    <col min="2" max="4" width="9" style="16"/>
    <col min="5" max="5" width="32.25" style="16" customWidth="1"/>
    <col min="6" max="6" width="14.375" style="16" bestFit="1" customWidth="1"/>
    <col min="7" max="8" width="9" style="16"/>
    <col min="9" max="9" width="15.25" style="24" bestFit="1" customWidth="1"/>
    <col min="10" max="16384" width="9" style="16"/>
  </cols>
  <sheetData>
    <row r="1" spans="1:9" x14ac:dyDescent="0.3">
      <c r="A1" s="17" t="s">
        <v>9</v>
      </c>
      <c r="B1" s="15" t="s">
        <v>10</v>
      </c>
      <c r="C1" s="15" t="s">
        <v>11</v>
      </c>
      <c r="D1" s="15" t="s">
        <v>12</v>
      </c>
      <c r="E1" s="15" t="s">
        <v>77</v>
      </c>
      <c r="F1" s="15" t="s">
        <v>13</v>
      </c>
      <c r="G1" s="15" t="s">
        <v>16</v>
      </c>
      <c r="H1" s="27" t="s">
        <v>71</v>
      </c>
      <c r="I1" s="29" t="s">
        <v>26</v>
      </c>
    </row>
    <row r="2" spans="1:9" x14ac:dyDescent="0.3">
      <c r="A2" s="18" t="str">
        <f t="shared" ref="A2:A30" si="0">IF(OR(NOT(ISBLANK(B2))=TRUE,NOT(ISBLANK(F2))=TRUE) = TRUE, TEXT(ROW()-1,"000"), "")</f>
        <v>001</v>
      </c>
      <c r="B2" s="16" t="s">
        <v>14</v>
      </c>
      <c r="C2" s="16" t="s">
        <v>15</v>
      </c>
      <c r="E2" s="16" t="s">
        <v>81</v>
      </c>
      <c r="F2" s="16" t="s">
        <v>51</v>
      </c>
      <c r="G2" s="16" t="s">
        <v>17</v>
      </c>
      <c r="H2" s="16" t="s">
        <v>72</v>
      </c>
      <c r="I2" s="24">
        <f t="shared" ref="I2:I30" ca="1" si="1">IF(A2&lt;&gt;"", NOW(), "")</f>
        <v>44397.267535648149</v>
      </c>
    </row>
    <row r="3" spans="1:9" x14ac:dyDescent="0.3">
      <c r="A3" s="18" t="str">
        <f t="shared" si="0"/>
        <v>002</v>
      </c>
      <c r="B3" s="16" t="s">
        <v>19</v>
      </c>
      <c r="G3" s="16" t="s">
        <v>30</v>
      </c>
      <c r="H3" s="16" t="s">
        <v>73</v>
      </c>
      <c r="I3" s="24">
        <f t="shared" ca="1" si="1"/>
        <v>44397.267535648149</v>
      </c>
    </row>
    <row r="4" spans="1:9" x14ac:dyDescent="0.3">
      <c r="A4" s="18" t="str">
        <f t="shared" si="0"/>
        <v>003</v>
      </c>
      <c r="B4" s="16" t="s">
        <v>20</v>
      </c>
      <c r="E4" s="16" t="s">
        <v>80</v>
      </c>
      <c r="G4" s="16" t="s">
        <v>36</v>
      </c>
      <c r="H4" s="16" t="s">
        <v>78</v>
      </c>
      <c r="I4" s="24">
        <f t="shared" ca="1" si="1"/>
        <v>44397.267535648149</v>
      </c>
    </row>
    <row r="5" spans="1:9" x14ac:dyDescent="0.3">
      <c r="A5" s="18" t="str">
        <f t="shared" si="0"/>
        <v>004</v>
      </c>
      <c r="B5" s="16" t="s">
        <v>21</v>
      </c>
      <c r="C5" s="16" t="s">
        <v>22</v>
      </c>
      <c r="E5" s="16" t="s">
        <v>82</v>
      </c>
      <c r="F5" s="16" t="s">
        <v>27</v>
      </c>
      <c r="G5" s="16" t="s">
        <v>32</v>
      </c>
      <c r="H5" s="28" t="s">
        <v>79</v>
      </c>
      <c r="I5" s="24">
        <f t="shared" ca="1" si="1"/>
        <v>44397.267535648149</v>
      </c>
    </row>
    <row r="6" spans="1:9" x14ac:dyDescent="0.3">
      <c r="A6" s="18" t="str">
        <f t="shared" si="0"/>
        <v/>
      </c>
      <c r="B6" s="28"/>
      <c r="H6" s="28"/>
      <c r="I6" s="24" t="str">
        <f t="shared" ca="1" si="1"/>
        <v/>
      </c>
    </row>
    <row r="7" spans="1:9" x14ac:dyDescent="0.3">
      <c r="A7" s="18" t="str">
        <f t="shared" si="0"/>
        <v/>
      </c>
      <c r="H7" s="28"/>
      <c r="I7" s="24" t="str">
        <f t="shared" ca="1" si="1"/>
        <v/>
      </c>
    </row>
    <row r="8" spans="1:9" x14ac:dyDescent="0.3">
      <c r="A8" s="18" t="str">
        <f t="shared" si="0"/>
        <v/>
      </c>
      <c r="H8" s="28"/>
      <c r="I8" s="24" t="str">
        <f t="shared" ca="1" si="1"/>
        <v/>
      </c>
    </row>
    <row r="9" spans="1:9" x14ac:dyDescent="0.3">
      <c r="A9" s="18" t="str">
        <f t="shared" si="0"/>
        <v/>
      </c>
      <c r="H9" s="28"/>
      <c r="I9" s="24" t="str">
        <f t="shared" ca="1" si="1"/>
        <v/>
      </c>
    </row>
    <row r="10" spans="1:9" x14ac:dyDescent="0.3">
      <c r="A10" s="18" t="str">
        <f t="shared" si="0"/>
        <v/>
      </c>
      <c r="H10" s="28"/>
      <c r="I10" s="24" t="str">
        <f t="shared" ca="1" si="1"/>
        <v/>
      </c>
    </row>
    <row r="11" spans="1:9" x14ac:dyDescent="0.3">
      <c r="A11" s="18" t="str">
        <f t="shared" si="0"/>
        <v/>
      </c>
      <c r="I11" s="24" t="str">
        <f t="shared" ca="1" si="1"/>
        <v/>
      </c>
    </row>
    <row r="12" spans="1:9" x14ac:dyDescent="0.3">
      <c r="A12" s="18" t="str">
        <f t="shared" si="0"/>
        <v/>
      </c>
      <c r="I12" s="24" t="str">
        <f t="shared" ca="1" si="1"/>
        <v/>
      </c>
    </row>
    <row r="13" spans="1:9" x14ac:dyDescent="0.3">
      <c r="A13" s="18" t="str">
        <f t="shared" si="0"/>
        <v/>
      </c>
      <c r="I13" s="24" t="str">
        <f t="shared" ca="1" si="1"/>
        <v/>
      </c>
    </row>
    <row r="14" spans="1:9" x14ac:dyDescent="0.3">
      <c r="A14" s="18" t="str">
        <f t="shared" si="0"/>
        <v/>
      </c>
      <c r="I14" s="24" t="str">
        <f t="shared" ca="1" si="1"/>
        <v/>
      </c>
    </row>
    <row r="15" spans="1:9" x14ac:dyDescent="0.3">
      <c r="A15" s="18" t="str">
        <f t="shared" si="0"/>
        <v/>
      </c>
      <c r="I15" s="24" t="str">
        <f t="shared" ca="1" si="1"/>
        <v/>
      </c>
    </row>
    <row r="16" spans="1:9" x14ac:dyDescent="0.3">
      <c r="A16" s="18" t="str">
        <f t="shared" si="0"/>
        <v/>
      </c>
      <c r="I16" s="24" t="str">
        <f t="shared" ca="1" si="1"/>
        <v/>
      </c>
    </row>
    <row r="17" spans="1:9" x14ac:dyDescent="0.3">
      <c r="A17" s="18" t="str">
        <f t="shared" si="0"/>
        <v/>
      </c>
      <c r="I17" s="24" t="str">
        <f t="shared" ca="1" si="1"/>
        <v/>
      </c>
    </row>
    <row r="18" spans="1:9" x14ac:dyDescent="0.3">
      <c r="A18" s="18" t="str">
        <f t="shared" si="0"/>
        <v/>
      </c>
      <c r="I18" s="24" t="str">
        <f t="shared" ca="1" si="1"/>
        <v/>
      </c>
    </row>
    <row r="19" spans="1:9" x14ac:dyDescent="0.3">
      <c r="A19" s="18" t="str">
        <f t="shared" si="0"/>
        <v/>
      </c>
      <c r="I19" s="24" t="str">
        <f t="shared" ca="1" si="1"/>
        <v/>
      </c>
    </row>
    <row r="20" spans="1:9" x14ac:dyDescent="0.3">
      <c r="A20" s="18" t="str">
        <f t="shared" si="0"/>
        <v/>
      </c>
      <c r="I20" s="24" t="str">
        <f t="shared" ca="1" si="1"/>
        <v/>
      </c>
    </row>
    <row r="21" spans="1:9" x14ac:dyDescent="0.3">
      <c r="A21" s="18" t="str">
        <f t="shared" si="0"/>
        <v/>
      </c>
      <c r="I21" s="24" t="str">
        <f t="shared" ca="1" si="1"/>
        <v/>
      </c>
    </row>
    <row r="22" spans="1:9" x14ac:dyDescent="0.3">
      <c r="A22" s="18" t="str">
        <f t="shared" si="0"/>
        <v/>
      </c>
      <c r="I22" s="24" t="str">
        <f t="shared" ca="1" si="1"/>
        <v/>
      </c>
    </row>
    <row r="23" spans="1:9" x14ac:dyDescent="0.3">
      <c r="A23" s="18" t="str">
        <f t="shared" si="0"/>
        <v/>
      </c>
      <c r="I23" s="24" t="str">
        <f t="shared" ca="1" si="1"/>
        <v/>
      </c>
    </row>
    <row r="24" spans="1:9" x14ac:dyDescent="0.3">
      <c r="A24" s="18" t="str">
        <f t="shared" si="0"/>
        <v/>
      </c>
      <c r="I24" s="24" t="str">
        <f t="shared" ca="1" si="1"/>
        <v/>
      </c>
    </row>
    <row r="25" spans="1:9" x14ac:dyDescent="0.3">
      <c r="A25" s="18" t="str">
        <f t="shared" si="0"/>
        <v/>
      </c>
      <c r="I25" s="24" t="str">
        <f t="shared" ca="1" si="1"/>
        <v/>
      </c>
    </row>
    <row r="26" spans="1:9" x14ac:dyDescent="0.3">
      <c r="A26" s="18" t="str">
        <f t="shared" si="0"/>
        <v/>
      </c>
      <c r="I26" s="24" t="str">
        <f t="shared" ca="1" si="1"/>
        <v/>
      </c>
    </row>
    <row r="27" spans="1:9" x14ac:dyDescent="0.3">
      <c r="A27" s="18" t="str">
        <f t="shared" si="0"/>
        <v/>
      </c>
      <c r="I27" s="24" t="str">
        <f t="shared" ca="1" si="1"/>
        <v/>
      </c>
    </row>
    <row r="28" spans="1:9" x14ac:dyDescent="0.3">
      <c r="A28" s="18" t="str">
        <f t="shared" si="0"/>
        <v/>
      </c>
      <c r="I28" s="24" t="str">
        <f t="shared" ca="1" si="1"/>
        <v/>
      </c>
    </row>
    <row r="29" spans="1:9" x14ac:dyDescent="0.3">
      <c r="A29" s="18" t="str">
        <f t="shared" si="0"/>
        <v/>
      </c>
      <c r="I29" s="24" t="str">
        <f t="shared" ca="1" si="1"/>
        <v/>
      </c>
    </row>
    <row r="30" spans="1:9" x14ac:dyDescent="0.3">
      <c r="A30" s="18" t="str">
        <f t="shared" si="0"/>
        <v/>
      </c>
      <c r="I30" s="24" t="str">
        <f t="shared" ca="1" si="1"/>
        <v/>
      </c>
    </row>
  </sheetData>
  <phoneticPr fontId="1" type="noConversion"/>
  <conditionalFormatting sqref="H2:H30">
    <cfRule type="expression" dxfId="12" priority="3">
      <formula>$H2="보라"</formula>
    </cfRule>
    <cfRule type="expression" dxfId="11" priority="4">
      <formula>$H2="진청"</formula>
    </cfRule>
    <cfRule type="expression" dxfId="10" priority="5">
      <formula>$H2="파랑"</formula>
    </cfRule>
    <cfRule type="expression" dxfId="9" priority="6">
      <formula>$H2="하늘"</formula>
    </cfRule>
    <cfRule type="expression" dxfId="8" priority="7">
      <formula>$H2="초록"</formula>
    </cfRule>
    <cfRule type="expression" dxfId="7" priority="8">
      <formula>$H2="연두"</formula>
    </cfRule>
    <cfRule type="expression" dxfId="6" priority="9">
      <formula>$H2="노랑"</formula>
    </cfRule>
    <cfRule type="expression" dxfId="5" priority="10">
      <formula>$H2="주황"</formula>
    </cfRule>
    <cfRule type="expression" dxfId="4" priority="11">
      <formula>$H2="빨강"</formula>
    </cfRule>
  </conditionalFormatting>
  <conditionalFormatting sqref="A2:I5">
    <cfRule type="expression" dxfId="3" priority="2">
      <formula>$A2&lt;&gt;""</formula>
    </cfRule>
  </conditionalFormatting>
  <conditionalFormatting sqref="A2:I30">
    <cfRule type="expression" dxfId="2" priority="1">
      <formula>$A2&lt;&gt;""</formula>
    </cfRule>
  </conditionalFormatting>
  <dataValidations count="1">
    <dataValidation type="list" allowBlank="1" showInputMessage="1" showErrorMessage="1" sqref="G2:G30" xr:uid="{E3C12BA2-CCB6-4412-B881-7B1C80698A54}">
      <formula1>전체계급명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D9F0-02B9-4FC6-89DC-539FB522C720}">
  <sheetPr codeName="Sheet8"/>
  <dimension ref="A1:E30"/>
  <sheetViews>
    <sheetView workbookViewId="0">
      <selection activeCell="C20" sqref="C20"/>
    </sheetView>
  </sheetViews>
  <sheetFormatPr defaultRowHeight="16.5" x14ac:dyDescent="0.3"/>
  <cols>
    <col min="1" max="1" width="9" style="19"/>
    <col min="2" max="2" width="9" style="16"/>
    <col min="3" max="3" width="33.375" style="16" customWidth="1"/>
    <col min="4" max="4" width="9" style="31"/>
    <col min="5" max="5" width="15.25" style="24" bestFit="1" customWidth="1"/>
    <col min="6" max="16384" width="9" style="16"/>
  </cols>
  <sheetData>
    <row r="1" spans="1:5" x14ac:dyDescent="0.3">
      <c r="A1" s="17" t="s">
        <v>9</v>
      </c>
      <c r="B1" s="15" t="s">
        <v>23</v>
      </c>
      <c r="C1" s="15" t="s">
        <v>25</v>
      </c>
      <c r="D1" s="30" t="s">
        <v>24</v>
      </c>
      <c r="E1" s="29" t="s">
        <v>26</v>
      </c>
    </row>
    <row r="2" spans="1:5" x14ac:dyDescent="0.3">
      <c r="A2" s="19" t="str">
        <f>IF(OR(NOT(ISBLANK(B2))=TRUE), TEXT(ROW()-1,"000"), "")</f>
        <v>001</v>
      </c>
      <c r="B2" s="16" t="s">
        <v>18</v>
      </c>
      <c r="C2" s="16" t="s">
        <v>34</v>
      </c>
      <c r="E2" s="24">
        <f ca="1">IF(A2&lt;&gt;"", NOW(), "")</f>
        <v>44397.267535648149</v>
      </c>
    </row>
    <row r="3" spans="1:5" x14ac:dyDescent="0.3">
      <c r="A3" s="19" t="str">
        <f t="shared" ref="A3:A30" si="0">IF(OR(NOT(ISBLANK(B3))=TRUE), TEXT(ROW()-1,"000"), "")</f>
        <v>002</v>
      </c>
      <c r="B3" s="16" t="s">
        <v>42</v>
      </c>
      <c r="C3" s="16" t="s">
        <v>46</v>
      </c>
      <c r="D3" s="31" t="s">
        <v>17</v>
      </c>
      <c r="E3" s="24">
        <f t="shared" ref="E3:E30" ca="1" si="1">IF(A3&lt;&gt;"", NOW(), "")</f>
        <v>44397.267535648149</v>
      </c>
    </row>
    <row r="4" spans="1:5" x14ac:dyDescent="0.3">
      <c r="A4" s="19" t="str">
        <f t="shared" si="0"/>
        <v>003</v>
      </c>
      <c r="B4" s="16" t="s">
        <v>31</v>
      </c>
      <c r="C4" s="16" t="s">
        <v>40</v>
      </c>
      <c r="D4" s="31" t="s">
        <v>17</v>
      </c>
      <c r="E4" s="24">
        <f t="shared" ca="1" si="1"/>
        <v>44397.267535648149</v>
      </c>
    </row>
    <row r="5" spans="1:5" x14ac:dyDescent="0.3">
      <c r="A5" s="19" t="str">
        <f t="shared" si="0"/>
        <v>004</v>
      </c>
      <c r="B5" s="16" t="s">
        <v>29</v>
      </c>
      <c r="C5" s="16" t="s">
        <v>39</v>
      </c>
      <c r="D5" s="31" t="s">
        <v>17</v>
      </c>
      <c r="E5" s="24">
        <f t="shared" ca="1" si="1"/>
        <v>44397.267535648149</v>
      </c>
    </row>
    <row r="6" spans="1:5" x14ac:dyDescent="0.3">
      <c r="A6" s="19" t="str">
        <f t="shared" si="0"/>
        <v>005</v>
      </c>
      <c r="B6" s="16" t="s">
        <v>44</v>
      </c>
      <c r="C6" s="16" t="s">
        <v>47</v>
      </c>
      <c r="D6" s="31" t="s">
        <v>28</v>
      </c>
      <c r="E6" s="24">
        <f t="shared" ca="1" si="1"/>
        <v>44397.267535648149</v>
      </c>
    </row>
    <row r="7" spans="1:5" x14ac:dyDescent="0.3">
      <c r="A7" s="19" t="str">
        <f t="shared" si="0"/>
        <v>006</v>
      </c>
      <c r="B7" s="16" t="s">
        <v>35</v>
      </c>
      <c r="C7" s="16" t="s">
        <v>48</v>
      </c>
      <c r="D7" s="31" t="s">
        <v>17</v>
      </c>
      <c r="E7" s="24">
        <f t="shared" ca="1" si="1"/>
        <v>44397.267535648149</v>
      </c>
    </row>
    <row r="8" spans="1:5" x14ac:dyDescent="0.3">
      <c r="A8" s="19" t="str">
        <f t="shared" si="0"/>
        <v>007</v>
      </c>
      <c r="B8" s="16" t="s">
        <v>37</v>
      </c>
      <c r="C8" s="16" t="s">
        <v>38</v>
      </c>
      <c r="D8" s="31" t="s">
        <v>30</v>
      </c>
      <c r="E8" s="24">
        <f t="shared" ca="1" si="1"/>
        <v>44397.267535648149</v>
      </c>
    </row>
    <row r="9" spans="1:5" x14ac:dyDescent="0.3">
      <c r="A9" s="19" t="str">
        <f t="shared" si="0"/>
        <v>008</v>
      </c>
      <c r="B9" s="16" t="s">
        <v>33</v>
      </c>
      <c r="C9" s="16" t="s">
        <v>49</v>
      </c>
      <c r="D9" s="31" t="s">
        <v>41</v>
      </c>
      <c r="E9" s="24">
        <f t="shared" ca="1" si="1"/>
        <v>44397.267535648149</v>
      </c>
    </row>
    <row r="10" spans="1:5" x14ac:dyDescent="0.3">
      <c r="A10" s="19" t="str">
        <f t="shared" si="0"/>
        <v>009</v>
      </c>
      <c r="B10" s="16" t="s">
        <v>45</v>
      </c>
      <c r="D10" s="31" t="s">
        <v>43</v>
      </c>
      <c r="E10" s="24">
        <f t="shared" ca="1" si="1"/>
        <v>44397.267535648149</v>
      </c>
    </row>
    <row r="11" spans="1:5" x14ac:dyDescent="0.3">
      <c r="A11" s="19" t="str">
        <f t="shared" si="0"/>
        <v>010</v>
      </c>
      <c r="B11" s="16" t="s">
        <v>50</v>
      </c>
      <c r="D11" s="31" t="s">
        <v>43</v>
      </c>
      <c r="E11" s="24">
        <f t="shared" ca="1" si="1"/>
        <v>44397.267535648149</v>
      </c>
    </row>
    <row r="12" spans="1:5" x14ac:dyDescent="0.3">
      <c r="A12" s="19" t="str">
        <f t="shared" si="0"/>
        <v/>
      </c>
      <c r="E12" s="24" t="str">
        <f t="shared" ca="1" si="1"/>
        <v/>
      </c>
    </row>
    <row r="13" spans="1:5" x14ac:dyDescent="0.3">
      <c r="A13" s="19" t="str">
        <f t="shared" si="0"/>
        <v/>
      </c>
      <c r="E13" s="24" t="str">
        <f t="shared" ca="1" si="1"/>
        <v/>
      </c>
    </row>
    <row r="14" spans="1:5" x14ac:dyDescent="0.3">
      <c r="A14" s="19" t="str">
        <f t="shared" si="0"/>
        <v/>
      </c>
      <c r="E14" s="24" t="str">
        <f t="shared" ca="1" si="1"/>
        <v/>
      </c>
    </row>
    <row r="15" spans="1:5" x14ac:dyDescent="0.3">
      <c r="A15" s="19" t="str">
        <f t="shared" si="0"/>
        <v/>
      </c>
      <c r="E15" s="24" t="str">
        <f t="shared" ca="1" si="1"/>
        <v/>
      </c>
    </row>
    <row r="16" spans="1:5" x14ac:dyDescent="0.3">
      <c r="A16" s="19" t="str">
        <f t="shared" si="0"/>
        <v/>
      </c>
      <c r="E16" s="24" t="str">
        <f t="shared" ca="1" si="1"/>
        <v/>
      </c>
    </row>
    <row r="17" spans="1:5" x14ac:dyDescent="0.3">
      <c r="A17" s="19" t="str">
        <f t="shared" si="0"/>
        <v/>
      </c>
      <c r="E17" s="24" t="str">
        <f t="shared" ca="1" si="1"/>
        <v/>
      </c>
    </row>
    <row r="18" spans="1:5" x14ac:dyDescent="0.3">
      <c r="A18" s="19" t="str">
        <f t="shared" si="0"/>
        <v/>
      </c>
      <c r="E18" s="24" t="str">
        <f t="shared" ca="1" si="1"/>
        <v/>
      </c>
    </row>
    <row r="19" spans="1:5" x14ac:dyDescent="0.3">
      <c r="A19" s="19" t="str">
        <f t="shared" si="0"/>
        <v/>
      </c>
      <c r="E19" s="24" t="str">
        <f t="shared" ca="1" si="1"/>
        <v/>
      </c>
    </row>
    <row r="20" spans="1:5" x14ac:dyDescent="0.3">
      <c r="A20" s="19" t="str">
        <f t="shared" si="0"/>
        <v/>
      </c>
      <c r="E20" s="24" t="str">
        <f t="shared" ca="1" si="1"/>
        <v/>
      </c>
    </row>
    <row r="21" spans="1:5" x14ac:dyDescent="0.3">
      <c r="A21" s="19" t="str">
        <f t="shared" si="0"/>
        <v/>
      </c>
      <c r="E21" s="24" t="str">
        <f t="shared" ca="1" si="1"/>
        <v/>
      </c>
    </row>
    <row r="22" spans="1:5" x14ac:dyDescent="0.3">
      <c r="A22" s="19" t="str">
        <f t="shared" si="0"/>
        <v/>
      </c>
      <c r="E22" s="24" t="str">
        <f t="shared" ca="1" si="1"/>
        <v/>
      </c>
    </row>
    <row r="23" spans="1:5" x14ac:dyDescent="0.3">
      <c r="A23" s="19" t="str">
        <f t="shared" si="0"/>
        <v/>
      </c>
      <c r="E23" s="24" t="str">
        <f t="shared" ca="1" si="1"/>
        <v/>
      </c>
    </row>
    <row r="24" spans="1:5" x14ac:dyDescent="0.3">
      <c r="A24" s="19" t="str">
        <f t="shared" si="0"/>
        <v/>
      </c>
      <c r="E24" s="24" t="str">
        <f t="shared" ca="1" si="1"/>
        <v/>
      </c>
    </row>
    <row r="25" spans="1:5" x14ac:dyDescent="0.3">
      <c r="A25" s="19" t="str">
        <f t="shared" si="0"/>
        <v/>
      </c>
      <c r="E25" s="24" t="str">
        <f t="shared" ca="1" si="1"/>
        <v/>
      </c>
    </row>
    <row r="26" spans="1:5" x14ac:dyDescent="0.3">
      <c r="A26" s="19" t="str">
        <f t="shared" si="0"/>
        <v/>
      </c>
      <c r="E26" s="24" t="str">
        <f t="shared" ca="1" si="1"/>
        <v/>
      </c>
    </row>
    <row r="27" spans="1:5" x14ac:dyDescent="0.3">
      <c r="A27" s="19" t="str">
        <f t="shared" si="0"/>
        <v/>
      </c>
      <c r="E27" s="24" t="str">
        <f t="shared" ca="1" si="1"/>
        <v/>
      </c>
    </row>
    <row r="28" spans="1:5" x14ac:dyDescent="0.3">
      <c r="A28" s="19" t="str">
        <f t="shared" si="0"/>
        <v/>
      </c>
      <c r="E28" s="24" t="str">
        <f t="shared" ca="1" si="1"/>
        <v/>
      </c>
    </row>
    <row r="29" spans="1:5" x14ac:dyDescent="0.3">
      <c r="A29" s="19" t="str">
        <f t="shared" si="0"/>
        <v/>
      </c>
      <c r="E29" s="24" t="str">
        <f t="shared" ca="1" si="1"/>
        <v/>
      </c>
    </row>
    <row r="30" spans="1:5" x14ac:dyDescent="0.3">
      <c r="A30" s="19" t="str">
        <f t="shared" si="0"/>
        <v/>
      </c>
      <c r="E30" s="24" t="str">
        <f t="shared" ca="1" si="1"/>
        <v/>
      </c>
    </row>
  </sheetData>
  <phoneticPr fontId="1" type="noConversion"/>
  <conditionalFormatting sqref="B11">
    <cfRule type="expression" dxfId="1" priority="2">
      <formula>$B2&lt;&gt;""</formula>
    </cfRule>
  </conditionalFormatting>
  <conditionalFormatting sqref="A2:E30">
    <cfRule type="expression" dxfId="0" priority="1">
      <formula>$B2&lt;&gt;""</formula>
    </cfRule>
  </conditionalFormatting>
  <dataValidations count="1">
    <dataValidation type="list" allowBlank="1" showInputMessage="1" showErrorMessage="1" sqref="D3:D30 D2" xr:uid="{20BE9B8F-C5D9-4837-A6F0-EBE970B82821}">
      <formula1>상위계급명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24871-C62D-45AF-A1EE-A9593F57CA14}">
  <sheetPr codeName="Sheet1">
    <tabColor rgb="FFFF0000"/>
  </sheetPr>
  <dimension ref="A1:ABX10"/>
  <sheetViews>
    <sheetView workbookViewId="0">
      <pane xSplit="7" ySplit="4" topLeftCell="ON5" activePane="bottomRight" state="frozen"/>
      <selection pane="topRight" activeCell="H1" sqref="H1"/>
      <selection pane="bottomLeft" activeCell="A5" sqref="A5"/>
      <selection pane="bottomRight" activeCell="OS4" sqref="OS4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11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4" customFormat="1" x14ac:dyDescent="0.3">
      <c r="A1" s="39" t="s">
        <v>57</v>
      </c>
      <c r="B1" s="41" t="s">
        <v>76</v>
      </c>
      <c r="E1" s="8"/>
      <c r="F1" s="8"/>
      <c r="G1" s="8"/>
    </row>
    <row r="2" spans="1:752" s="5" customFormat="1" x14ac:dyDescent="0.3">
      <c r="A2" s="40"/>
      <c r="B2" s="42"/>
      <c r="E2" s="9"/>
      <c r="F2" s="9"/>
      <c r="G2" s="9"/>
    </row>
    <row r="3" spans="1:752" s="12" customFormat="1" ht="17.25" thickBot="1" x14ac:dyDescent="0.35">
      <c r="A3" s="40"/>
      <c r="B3" s="42"/>
      <c r="C3" s="5"/>
      <c r="D3" s="5"/>
      <c r="E3" s="9"/>
      <c r="F3" s="9"/>
      <c r="G3" s="9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</row>
    <row r="4" spans="1:752" x14ac:dyDescent="0.3">
      <c r="A4" s="43" t="s">
        <v>69</v>
      </c>
      <c r="B4" s="44"/>
      <c r="C4" s="44"/>
      <c r="D4" s="44"/>
      <c r="E4" s="45" t="s">
        <v>70</v>
      </c>
      <c r="F4" s="46"/>
      <c r="G4" s="46"/>
      <c r="H4" s="13" t="s">
        <v>67</v>
      </c>
      <c r="I4" s="14">
        <v>44197</v>
      </c>
      <c r="J4" s="13" t="s">
        <v>61</v>
      </c>
      <c r="K4" s="14">
        <v>44198</v>
      </c>
      <c r="L4" s="13" t="s">
        <v>62</v>
      </c>
      <c r="M4" s="14">
        <v>44199</v>
      </c>
      <c r="N4" s="13" t="s">
        <v>63</v>
      </c>
      <c r="O4" s="14">
        <v>44200</v>
      </c>
      <c r="P4" s="13" t="s">
        <v>64</v>
      </c>
      <c r="Q4" s="14">
        <v>44201</v>
      </c>
      <c r="R4" s="13" t="s">
        <v>65</v>
      </c>
      <c r="S4" s="14">
        <v>44202</v>
      </c>
      <c r="T4" s="13" t="s">
        <v>66</v>
      </c>
      <c r="U4" s="14">
        <v>44203</v>
      </c>
      <c r="V4" s="13" t="s">
        <v>67</v>
      </c>
      <c r="W4" s="14">
        <v>44204</v>
      </c>
      <c r="X4" s="13" t="s">
        <v>61</v>
      </c>
      <c r="Y4" s="14">
        <v>44205</v>
      </c>
      <c r="Z4" s="13" t="s">
        <v>62</v>
      </c>
      <c r="AA4" s="14">
        <v>44206</v>
      </c>
      <c r="AB4" s="13" t="s">
        <v>63</v>
      </c>
      <c r="AC4" s="14">
        <v>44207</v>
      </c>
      <c r="AD4" s="13" t="s">
        <v>64</v>
      </c>
      <c r="AE4" s="14">
        <v>44208</v>
      </c>
      <c r="AF4" s="13" t="s">
        <v>65</v>
      </c>
      <c r="AG4" s="14">
        <v>44209</v>
      </c>
      <c r="AH4" s="13" t="s">
        <v>66</v>
      </c>
      <c r="AI4" s="14">
        <v>44210</v>
      </c>
      <c r="AJ4" s="13" t="s">
        <v>67</v>
      </c>
      <c r="AK4" s="14">
        <v>44211</v>
      </c>
      <c r="AL4" s="13" t="s">
        <v>61</v>
      </c>
      <c r="AM4" s="14">
        <v>44212</v>
      </c>
      <c r="AN4" s="13" t="s">
        <v>62</v>
      </c>
      <c r="AO4" s="14">
        <v>44213</v>
      </c>
      <c r="AP4" s="13" t="s">
        <v>63</v>
      </c>
      <c r="AQ4" s="14">
        <v>44214</v>
      </c>
      <c r="AR4" s="13" t="s">
        <v>64</v>
      </c>
      <c r="AS4" s="14">
        <v>44215</v>
      </c>
      <c r="AT4" s="13" t="s">
        <v>65</v>
      </c>
      <c r="AU4" s="14">
        <v>44216</v>
      </c>
      <c r="AV4" s="13" t="s">
        <v>66</v>
      </c>
      <c r="AW4" s="14">
        <v>44217</v>
      </c>
      <c r="AX4" s="13" t="s">
        <v>67</v>
      </c>
      <c r="AY4" s="14">
        <v>44218</v>
      </c>
      <c r="AZ4" s="13" t="s">
        <v>61</v>
      </c>
      <c r="BA4" s="14">
        <v>44219</v>
      </c>
      <c r="BB4" s="13" t="s">
        <v>62</v>
      </c>
      <c r="BC4" s="14">
        <v>44220</v>
      </c>
      <c r="BD4" s="13" t="s">
        <v>63</v>
      </c>
      <c r="BE4" s="14">
        <v>44221</v>
      </c>
      <c r="BF4" s="13" t="s">
        <v>64</v>
      </c>
      <c r="BG4" s="14">
        <v>44222</v>
      </c>
      <c r="BH4" s="13" t="s">
        <v>65</v>
      </c>
      <c r="BI4" s="14">
        <v>44223</v>
      </c>
      <c r="BJ4" s="13" t="s">
        <v>66</v>
      </c>
      <c r="BK4" s="14">
        <v>44224</v>
      </c>
      <c r="BL4" s="13" t="s">
        <v>67</v>
      </c>
      <c r="BM4" s="14">
        <v>44225</v>
      </c>
      <c r="BN4" s="13" t="s">
        <v>61</v>
      </c>
      <c r="BO4" s="14">
        <v>44226</v>
      </c>
      <c r="BP4" s="13" t="s">
        <v>62</v>
      </c>
      <c r="BQ4" s="14">
        <v>44227</v>
      </c>
      <c r="BR4" s="13" t="s">
        <v>63</v>
      </c>
      <c r="BS4" s="14">
        <v>44228</v>
      </c>
      <c r="BT4" s="13" t="s">
        <v>64</v>
      </c>
      <c r="BU4" s="14">
        <v>44229</v>
      </c>
      <c r="BV4" s="13" t="s">
        <v>65</v>
      </c>
      <c r="BW4" s="14">
        <v>44230</v>
      </c>
      <c r="BX4" s="13" t="s">
        <v>66</v>
      </c>
      <c r="BY4" s="14">
        <v>44231</v>
      </c>
      <c r="BZ4" s="13" t="s">
        <v>67</v>
      </c>
      <c r="CA4" s="14">
        <v>44232</v>
      </c>
      <c r="CB4" s="13" t="s">
        <v>61</v>
      </c>
      <c r="CC4" s="14">
        <v>44233</v>
      </c>
      <c r="CD4" s="13" t="s">
        <v>62</v>
      </c>
      <c r="CE4" s="14">
        <v>44234</v>
      </c>
      <c r="CF4" s="13" t="s">
        <v>63</v>
      </c>
      <c r="CG4" s="14">
        <v>44235</v>
      </c>
      <c r="CH4" s="13" t="s">
        <v>64</v>
      </c>
      <c r="CI4" s="14">
        <v>44236</v>
      </c>
      <c r="CJ4" s="13" t="s">
        <v>65</v>
      </c>
      <c r="CK4" s="14">
        <v>44237</v>
      </c>
      <c r="CL4" s="13" t="s">
        <v>66</v>
      </c>
      <c r="CM4" s="14">
        <v>44238</v>
      </c>
      <c r="CN4" s="13" t="s">
        <v>67</v>
      </c>
      <c r="CO4" s="14">
        <v>44239</v>
      </c>
      <c r="CP4" s="13" t="s">
        <v>61</v>
      </c>
      <c r="CQ4" s="14">
        <v>44240</v>
      </c>
      <c r="CR4" s="13" t="s">
        <v>62</v>
      </c>
      <c r="CS4" s="14">
        <v>44241</v>
      </c>
      <c r="CT4" s="13" t="s">
        <v>63</v>
      </c>
      <c r="CU4" s="14">
        <v>44242</v>
      </c>
      <c r="CV4" s="13" t="s">
        <v>64</v>
      </c>
      <c r="CW4" s="14">
        <v>44243</v>
      </c>
      <c r="CX4" s="13" t="s">
        <v>65</v>
      </c>
      <c r="CY4" s="14">
        <v>44244</v>
      </c>
      <c r="CZ4" s="13" t="s">
        <v>66</v>
      </c>
      <c r="DA4" s="14">
        <v>44245</v>
      </c>
      <c r="DB4" s="13" t="s">
        <v>67</v>
      </c>
      <c r="DC4" s="14">
        <v>44246</v>
      </c>
      <c r="DD4" s="13" t="s">
        <v>61</v>
      </c>
      <c r="DE4" s="14">
        <v>44247</v>
      </c>
      <c r="DF4" s="13" t="s">
        <v>62</v>
      </c>
      <c r="DG4" s="14">
        <v>44248</v>
      </c>
      <c r="DH4" s="13" t="s">
        <v>63</v>
      </c>
      <c r="DI4" s="14">
        <v>44249</v>
      </c>
      <c r="DJ4" s="13" t="s">
        <v>64</v>
      </c>
      <c r="DK4" s="14">
        <v>44250</v>
      </c>
      <c r="DL4" s="13" t="s">
        <v>65</v>
      </c>
      <c r="DM4" s="14">
        <v>44251</v>
      </c>
      <c r="DN4" s="13" t="s">
        <v>66</v>
      </c>
      <c r="DO4" s="14">
        <v>44252</v>
      </c>
      <c r="DP4" s="13" t="s">
        <v>67</v>
      </c>
      <c r="DQ4" s="14">
        <v>44253</v>
      </c>
      <c r="DR4" s="13" t="s">
        <v>61</v>
      </c>
      <c r="DS4" s="14">
        <v>44254</v>
      </c>
      <c r="DT4" s="13" t="s">
        <v>62</v>
      </c>
      <c r="DU4" s="14">
        <v>44255</v>
      </c>
      <c r="DV4" s="13" t="s">
        <v>63</v>
      </c>
      <c r="DW4" s="14">
        <v>44256</v>
      </c>
      <c r="DX4" s="13" t="s">
        <v>64</v>
      </c>
      <c r="DY4" s="14">
        <v>44257</v>
      </c>
      <c r="DZ4" s="13" t="s">
        <v>65</v>
      </c>
      <c r="EA4" s="14">
        <v>44258</v>
      </c>
      <c r="EB4" s="13" t="s">
        <v>66</v>
      </c>
      <c r="EC4" s="14">
        <v>44259</v>
      </c>
      <c r="ED4" s="13" t="s">
        <v>67</v>
      </c>
      <c r="EE4" s="14">
        <v>44260</v>
      </c>
      <c r="EF4" s="13" t="s">
        <v>61</v>
      </c>
      <c r="EG4" s="14">
        <v>44261</v>
      </c>
      <c r="EH4" s="13" t="s">
        <v>62</v>
      </c>
      <c r="EI4" s="14">
        <v>44262</v>
      </c>
      <c r="EJ4" s="13" t="s">
        <v>63</v>
      </c>
      <c r="EK4" s="14">
        <v>44263</v>
      </c>
      <c r="EL4" s="13" t="s">
        <v>64</v>
      </c>
      <c r="EM4" s="14">
        <v>44264</v>
      </c>
      <c r="EN4" s="13" t="s">
        <v>65</v>
      </c>
      <c r="EO4" s="14">
        <v>44265</v>
      </c>
      <c r="EP4" s="13" t="s">
        <v>66</v>
      </c>
      <c r="EQ4" s="14">
        <v>44266</v>
      </c>
      <c r="ER4" s="13" t="s">
        <v>67</v>
      </c>
      <c r="ES4" s="14">
        <v>44267</v>
      </c>
      <c r="ET4" s="13" t="s">
        <v>61</v>
      </c>
      <c r="EU4" s="14">
        <v>44268</v>
      </c>
      <c r="EV4" s="13" t="s">
        <v>62</v>
      </c>
      <c r="EW4" s="14">
        <v>44269</v>
      </c>
      <c r="EX4" s="13" t="s">
        <v>63</v>
      </c>
      <c r="EY4" s="14">
        <v>44270</v>
      </c>
      <c r="EZ4" s="13" t="s">
        <v>64</v>
      </c>
      <c r="FA4" s="14">
        <v>44271</v>
      </c>
      <c r="FB4" s="13" t="s">
        <v>65</v>
      </c>
      <c r="FC4" s="14">
        <v>44272</v>
      </c>
      <c r="FD4" s="13" t="s">
        <v>66</v>
      </c>
      <c r="FE4" s="14">
        <v>44273</v>
      </c>
      <c r="FF4" s="13" t="s">
        <v>67</v>
      </c>
      <c r="FG4" s="14">
        <v>44274</v>
      </c>
      <c r="FH4" s="13" t="s">
        <v>61</v>
      </c>
      <c r="FI4" s="14">
        <v>44275</v>
      </c>
      <c r="FJ4" s="13" t="s">
        <v>62</v>
      </c>
      <c r="FK4" s="14">
        <v>44276</v>
      </c>
      <c r="FL4" s="13" t="s">
        <v>63</v>
      </c>
      <c r="FM4" s="14">
        <v>44277</v>
      </c>
      <c r="FN4" s="13" t="s">
        <v>64</v>
      </c>
      <c r="FO4" s="14">
        <v>44278</v>
      </c>
      <c r="FP4" s="13" t="s">
        <v>65</v>
      </c>
      <c r="FQ4" s="14">
        <v>44279</v>
      </c>
      <c r="FR4" s="13" t="s">
        <v>66</v>
      </c>
      <c r="FS4" s="14">
        <v>44280</v>
      </c>
      <c r="FT4" s="13" t="s">
        <v>67</v>
      </c>
      <c r="FU4" s="14">
        <v>44281</v>
      </c>
      <c r="FV4" s="13" t="s">
        <v>61</v>
      </c>
      <c r="FW4" s="14">
        <v>44282</v>
      </c>
      <c r="FX4" s="13" t="s">
        <v>62</v>
      </c>
      <c r="FY4" s="14">
        <v>44283</v>
      </c>
      <c r="FZ4" s="13" t="s">
        <v>63</v>
      </c>
      <c r="GA4" s="14">
        <v>44284</v>
      </c>
      <c r="GB4" s="13" t="s">
        <v>64</v>
      </c>
      <c r="GC4" s="14">
        <v>44285</v>
      </c>
      <c r="GD4" s="13" t="s">
        <v>65</v>
      </c>
      <c r="GE4" s="14">
        <v>44286</v>
      </c>
      <c r="GF4" s="13" t="s">
        <v>66</v>
      </c>
      <c r="GG4" s="14">
        <v>44287</v>
      </c>
      <c r="GH4" s="13" t="s">
        <v>67</v>
      </c>
      <c r="GI4" s="14">
        <v>44288</v>
      </c>
      <c r="GJ4" s="13" t="s">
        <v>61</v>
      </c>
      <c r="GK4" s="14">
        <v>44289</v>
      </c>
      <c r="GL4" s="13" t="s">
        <v>62</v>
      </c>
      <c r="GM4" s="14">
        <v>44290</v>
      </c>
      <c r="GN4" s="13" t="s">
        <v>63</v>
      </c>
      <c r="GO4" s="14">
        <v>44291</v>
      </c>
      <c r="GP4" s="13" t="s">
        <v>64</v>
      </c>
      <c r="GQ4" s="14">
        <v>44292</v>
      </c>
      <c r="GR4" s="13" t="s">
        <v>65</v>
      </c>
      <c r="GS4" s="14">
        <v>44293</v>
      </c>
      <c r="GT4" s="13" t="s">
        <v>66</v>
      </c>
      <c r="GU4" s="14">
        <v>44294</v>
      </c>
      <c r="GV4" s="13" t="s">
        <v>67</v>
      </c>
      <c r="GW4" s="14">
        <v>44295</v>
      </c>
      <c r="GX4" s="13" t="s">
        <v>61</v>
      </c>
      <c r="GY4" s="14">
        <v>44296</v>
      </c>
      <c r="GZ4" s="13" t="s">
        <v>62</v>
      </c>
      <c r="HA4" s="14">
        <v>44297</v>
      </c>
      <c r="HB4" s="13" t="s">
        <v>63</v>
      </c>
      <c r="HC4" s="14">
        <v>44298</v>
      </c>
      <c r="HD4" s="13" t="s">
        <v>64</v>
      </c>
      <c r="HE4" s="14">
        <v>44299</v>
      </c>
      <c r="HF4" s="13" t="s">
        <v>65</v>
      </c>
      <c r="HG4" s="14">
        <v>44300</v>
      </c>
      <c r="HH4" s="13" t="s">
        <v>66</v>
      </c>
      <c r="HI4" s="14">
        <v>44301</v>
      </c>
      <c r="HJ4" s="13" t="s">
        <v>67</v>
      </c>
      <c r="HK4" s="14">
        <v>44302</v>
      </c>
      <c r="HL4" s="13" t="s">
        <v>61</v>
      </c>
      <c r="HM4" s="14">
        <v>44303</v>
      </c>
      <c r="HN4" s="13" t="s">
        <v>62</v>
      </c>
      <c r="HO4" s="14">
        <v>44304</v>
      </c>
      <c r="HP4" s="13" t="s">
        <v>63</v>
      </c>
      <c r="HQ4" s="14">
        <v>44305</v>
      </c>
      <c r="HR4" s="13" t="s">
        <v>64</v>
      </c>
      <c r="HS4" s="14">
        <v>44306</v>
      </c>
      <c r="HT4" s="13" t="s">
        <v>65</v>
      </c>
      <c r="HU4" s="14">
        <v>44307</v>
      </c>
      <c r="HV4" s="13" t="s">
        <v>66</v>
      </c>
      <c r="HW4" s="14">
        <v>44308</v>
      </c>
      <c r="HX4" s="13" t="s">
        <v>67</v>
      </c>
      <c r="HY4" s="14">
        <v>44309</v>
      </c>
      <c r="HZ4" s="13" t="s">
        <v>61</v>
      </c>
      <c r="IA4" s="14">
        <v>44310</v>
      </c>
      <c r="IB4" s="13" t="s">
        <v>62</v>
      </c>
      <c r="IC4" s="14">
        <v>44311</v>
      </c>
      <c r="ID4" s="13" t="s">
        <v>63</v>
      </c>
      <c r="IE4" s="14">
        <v>44312</v>
      </c>
      <c r="IF4" s="13" t="s">
        <v>64</v>
      </c>
      <c r="IG4" s="14">
        <v>44313</v>
      </c>
      <c r="IH4" s="13" t="s">
        <v>65</v>
      </c>
      <c r="II4" s="14">
        <v>44314</v>
      </c>
      <c r="IJ4" s="13" t="s">
        <v>66</v>
      </c>
      <c r="IK4" s="14">
        <v>44315</v>
      </c>
      <c r="IL4" s="13" t="s">
        <v>67</v>
      </c>
      <c r="IM4" s="14">
        <v>44316</v>
      </c>
      <c r="IN4" s="13" t="s">
        <v>61</v>
      </c>
      <c r="IO4" s="14">
        <v>44317</v>
      </c>
      <c r="IP4" s="13" t="s">
        <v>62</v>
      </c>
      <c r="IQ4" s="14">
        <v>44318</v>
      </c>
      <c r="IR4" s="13" t="s">
        <v>63</v>
      </c>
      <c r="IS4" s="14">
        <v>44319</v>
      </c>
      <c r="IT4" s="13" t="s">
        <v>64</v>
      </c>
      <c r="IU4" s="14">
        <v>44320</v>
      </c>
      <c r="IV4" s="13" t="s">
        <v>65</v>
      </c>
      <c r="IW4" s="14">
        <v>44321</v>
      </c>
      <c r="IX4" s="13" t="s">
        <v>66</v>
      </c>
      <c r="IY4" s="14">
        <v>44322</v>
      </c>
      <c r="IZ4" s="13" t="s">
        <v>67</v>
      </c>
      <c r="JA4" s="14">
        <v>44323</v>
      </c>
      <c r="JB4" s="13" t="s">
        <v>61</v>
      </c>
      <c r="JC4" s="14">
        <v>44324</v>
      </c>
      <c r="JD4" s="13" t="s">
        <v>62</v>
      </c>
      <c r="JE4" s="14">
        <v>44325</v>
      </c>
      <c r="JF4" s="13" t="s">
        <v>63</v>
      </c>
      <c r="JG4" s="14">
        <v>44326</v>
      </c>
      <c r="JH4" s="13" t="s">
        <v>64</v>
      </c>
      <c r="JI4" s="14">
        <v>44327</v>
      </c>
      <c r="JJ4" s="13" t="s">
        <v>65</v>
      </c>
      <c r="JK4" s="14">
        <v>44328</v>
      </c>
      <c r="JL4" s="13" t="s">
        <v>66</v>
      </c>
      <c r="JM4" s="14">
        <v>44329</v>
      </c>
      <c r="JN4" s="13" t="s">
        <v>67</v>
      </c>
      <c r="JO4" s="14">
        <v>44330</v>
      </c>
      <c r="JP4" s="13" t="s">
        <v>61</v>
      </c>
      <c r="JQ4" s="14">
        <v>44331</v>
      </c>
      <c r="JR4" s="13" t="s">
        <v>62</v>
      </c>
      <c r="JS4" s="14">
        <v>44332</v>
      </c>
      <c r="JT4" s="13" t="s">
        <v>63</v>
      </c>
      <c r="JU4" s="14">
        <v>44333</v>
      </c>
      <c r="JV4" s="13" t="s">
        <v>64</v>
      </c>
      <c r="JW4" s="14">
        <v>44334</v>
      </c>
      <c r="JX4" s="13" t="s">
        <v>65</v>
      </c>
      <c r="JY4" s="14">
        <v>44335</v>
      </c>
      <c r="JZ4" s="13" t="s">
        <v>66</v>
      </c>
      <c r="KA4" s="14">
        <v>44336</v>
      </c>
      <c r="KB4" s="13" t="s">
        <v>67</v>
      </c>
      <c r="KC4" s="14">
        <v>44337</v>
      </c>
      <c r="KD4" s="13" t="s">
        <v>61</v>
      </c>
      <c r="KE4" s="14">
        <v>44338</v>
      </c>
      <c r="KF4" s="13" t="s">
        <v>62</v>
      </c>
      <c r="KG4" s="14">
        <v>44339</v>
      </c>
      <c r="KH4" s="13" t="s">
        <v>63</v>
      </c>
      <c r="KI4" s="14">
        <v>44340</v>
      </c>
      <c r="KJ4" s="13" t="s">
        <v>64</v>
      </c>
      <c r="KK4" s="14">
        <v>44341</v>
      </c>
      <c r="KL4" s="13" t="s">
        <v>65</v>
      </c>
      <c r="KM4" s="14">
        <v>44342</v>
      </c>
      <c r="KN4" s="13" t="s">
        <v>66</v>
      </c>
      <c r="KO4" s="14">
        <v>44343</v>
      </c>
      <c r="KP4" s="13" t="s">
        <v>67</v>
      </c>
      <c r="KQ4" s="14">
        <v>44344</v>
      </c>
      <c r="KR4" s="13" t="s">
        <v>61</v>
      </c>
      <c r="KS4" s="14">
        <v>44345</v>
      </c>
      <c r="KT4" s="13" t="s">
        <v>62</v>
      </c>
      <c r="KU4" s="14">
        <v>44346</v>
      </c>
      <c r="KV4" s="13" t="s">
        <v>63</v>
      </c>
      <c r="KW4" s="14">
        <v>44347</v>
      </c>
      <c r="KX4" s="13" t="s">
        <v>64</v>
      </c>
      <c r="KY4" s="14">
        <v>44348</v>
      </c>
      <c r="KZ4" s="13" t="s">
        <v>65</v>
      </c>
      <c r="LA4" s="14">
        <v>44349</v>
      </c>
      <c r="LB4" s="13" t="s">
        <v>66</v>
      </c>
      <c r="LC4" s="14">
        <v>44350</v>
      </c>
      <c r="LD4" s="13" t="s">
        <v>67</v>
      </c>
      <c r="LE4" s="14">
        <v>44351</v>
      </c>
      <c r="LF4" s="13" t="s">
        <v>61</v>
      </c>
      <c r="LG4" s="14">
        <v>44352</v>
      </c>
      <c r="LH4" s="13" t="s">
        <v>62</v>
      </c>
      <c r="LI4" s="14">
        <v>44353</v>
      </c>
      <c r="LJ4" s="13" t="s">
        <v>63</v>
      </c>
      <c r="LK4" s="14">
        <v>44354</v>
      </c>
      <c r="LL4" s="13" t="s">
        <v>64</v>
      </c>
      <c r="LM4" s="14">
        <v>44355</v>
      </c>
      <c r="LN4" s="13" t="s">
        <v>65</v>
      </c>
      <c r="LO4" s="14">
        <v>44356</v>
      </c>
      <c r="LP4" s="13" t="s">
        <v>66</v>
      </c>
      <c r="LQ4" s="14">
        <v>44357</v>
      </c>
      <c r="LR4" s="13" t="s">
        <v>67</v>
      </c>
      <c r="LS4" s="14">
        <v>44358</v>
      </c>
      <c r="LT4" s="13" t="s">
        <v>61</v>
      </c>
      <c r="LU4" s="14">
        <v>44359</v>
      </c>
      <c r="LV4" s="13" t="s">
        <v>62</v>
      </c>
      <c r="LW4" s="14">
        <v>44360</v>
      </c>
      <c r="LX4" s="13" t="s">
        <v>63</v>
      </c>
      <c r="LY4" s="14">
        <v>44361</v>
      </c>
      <c r="LZ4" s="13" t="s">
        <v>64</v>
      </c>
      <c r="MA4" s="14">
        <v>44362</v>
      </c>
      <c r="MB4" s="13" t="s">
        <v>65</v>
      </c>
      <c r="MC4" s="14">
        <v>44363</v>
      </c>
      <c r="MD4" s="13" t="s">
        <v>66</v>
      </c>
      <c r="ME4" s="14">
        <v>44364</v>
      </c>
      <c r="MF4" s="13" t="s">
        <v>67</v>
      </c>
      <c r="MG4" s="14">
        <v>44365</v>
      </c>
      <c r="MH4" s="13" t="s">
        <v>61</v>
      </c>
      <c r="MI4" s="14">
        <v>44366</v>
      </c>
      <c r="MJ4" s="13" t="s">
        <v>62</v>
      </c>
      <c r="MK4" s="14">
        <v>44367</v>
      </c>
      <c r="ML4" s="13" t="s">
        <v>63</v>
      </c>
      <c r="MM4" s="14">
        <v>44368</v>
      </c>
      <c r="MN4" s="13" t="s">
        <v>64</v>
      </c>
      <c r="MO4" s="14">
        <v>44369</v>
      </c>
      <c r="MP4" s="13" t="s">
        <v>65</v>
      </c>
      <c r="MQ4" s="14">
        <v>44370</v>
      </c>
      <c r="MR4" s="13" t="s">
        <v>66</v>
      </c>
      <c r="MS4" s="14">
        <v>44371</v>
      </c>
      <c r="MT4" s="13" t="s">
        <v>67</v>
      </c>
      <c r="MU4" s="14">
        <v>44372</v>
      </c>
      <c r="MV4" s="13" t="s">
        <v>61</v>
      </c>
      <c r="MW4" s="14">
        <v>44373</v>
      </c>
      <c r="MX4" s="13" t="s">
        <v>62</v>
      </c>
      <c r="MY4" s="14">
        <v>44374</v>
      </c>
      <c r="MZ4" s="13" t="s">
        <v>63</v>
      </c>
      <c r="NA4" s="14">
        <v>44375</v>
      </c>
      <c r="NB4" s="13" t="s">
        <v>64</v>
      </c>
      <c r="NC4" s="14">
        <v>44376</v>
      </c>
      <c r="ND4" s="13" t="s">
        <v>65</v>
      </c>
      <c r="NE4" s="14">
        <v>44377</v>
      </c>
      <c r="NF4" s="13" t="s">
        <v>66</v>
      </c>
      <c r="NG4" s="14">
        <v>44378</v>
      </c>
      <c r="NH4" s="13" t="s">
        <v>67</v>
      </c>
      <c r="NI4" s="14">
        <v>44379</v>
      </c>
      <c r="NJ4" s="13" t="s">
        <v>61</v>
      </c>
      <c r="NK4" s="14">
        <v>44380</v>
      </c>
      <c r="NL4" s="13" t="s">
        <v>62</v>
      </c>
      <c r="NM4" s="14">
        <v>44381</v>
      </c>
      <c r="NN4" s="13" t="s">
        <v>63</v>
      </c>
      <c r="NO4" s="14">
        <v>44382</v>
      </c>
      <c r="NP4" s="13" t="s">
        <v>64</v>
      </c>
      <c r="NQ4" s="14">
        <v>44383</v>
      </c>
      <c r="NR4" s="13" t="s">
        <v>65</v>
      </c>
      <c r="NS4" s="14">
        <v>44384</v>
      </c>
      <c r="NT4" s="13" t="s">
        <v>66</v>
      </c>
      <c r="NU4" s="14">
        <v>44385</v>
      </c>
      <c r="NV4" s="13" t="s">
        <v>67</v>
      </c>
      <c r="NW4" s="14">
        <v>44386</v>
      </c>
      <c r="NX4" s="13" t="s">
        <v>61</v>
      </c>
      <c r="NY4" s="14">
        <v>44387</v>
      </c>
      <c r="NZ4" s="13" t="s">
        <v>62</v>
      </c>
      <c r="OA4" s="14">
        <v>44388</v>
      </c>
      <c r="OB4" s="13" t="s">
        <v>63</v>
      </c>
      <c r="OC4" s="14">
        <v>44389</v>
      </c>
      <c r="OD4" s="13" t="s">
        <v>64</v>
      </c>
      <c r="OE4" s="14">
        <v>44390</v>
      </c>
      <c r="OF4" s="13" t="s">
        <v>65</v>
      </c>
      <c r="OG4" s="14">
        <v>44391</v>
      </c>
      <c r="OH4" s="13" t="s">
        <v>66</v>
      </c>
      <c r="OI4" s="14">
        <v>44392</v>
      </c>
      <c r="OJ4" s="13" t="s">
        <v>67</v>
      </c>
      <c r="OK4" s="14">
        <v>44393</v>
      </c>
      <c r="OL4" s="13" t="s">
        <v>61</v>
      </c>
      <c r="OM4" s="14">
        <v>44394</v>
      </c>
      <c r="ON4" s="13" t="s">
        <v>62</v>
      </c>
      <c r="OO4" s="14">
        <v>44395</v>
      </c>
      <c r="OP4" s="13" t="s">
        <v>63</v>
      </c>
      <c r="OQ4" s="14">
        <v>44396</v>
      </c>
      <c r="OR4" s="13" t="s">
        <v>64</v>
      </c>
      <c r="OS4" s="14">
        <v>44397</v>
      </c>
      <c r="OT4" s="13" t="s">
        <v>65</v>
      </c>
      <c r="OU4" s="14">
        <v>44398</v>
      </c>
      <c r="OV4" s="13" t="s">
        <v>66</v>
      </c>
      <c r="OW4" s="14">
        <v>44399</v>
      </c>
      <c r="OX4" s="13" t="s">
        <v>67</v>
      </c>
      <c r="OY4" s="14">
        <v>44400</v>
      </c>
      <c r="OZ4" s="13" t="s">
        <v>61</v>
      </c>
      <c r="PA4" s="14">
        <v>44401</v>
      </c>
      <c r="PB4" s="13" t="s">
        <v>62</v>
      </c>
      <c r="PC4" s="14">
        <v>44402</v>
      </c>
      <c r="PD4" s="13" t="s">
        <v>63</v>
      </c>
      <c r="PE4" s="14">
        <v>44403</v>
      </c>
      <c r="PF4" s="13" t="s">
        <v>64</v>
      </c>
      <c r="PG4" s="14">
        <v>44404</v>
      </c>
      <c r="PH4" s="13" t="s">
        <v>65</v>
      </c>
      <c r="PI4" s="14">
        <v>44405</v>
      </c>
      <c r="PJ4" s="13" t="s">
        <v>66</v>
      </c>
      <c r="PK4" s="14">
        <v>44406</v>
      </c>
      <c r="PL4" s="13" t="s">
        <v>67</v>
      </c>
      <c r="PM4" s="14">
        <v>44407</v>
      </c>
      <c r="PN4" s="13" t="s">
        <v>61</v>
      </c>
      <c r="PO4" s="14">
        <v>44408</v>
      </c>
      <c r="PP4" s="13" t="s">
        <v>62</v>
      </c>
      <c r="PQ4" s="14">
        <v>44409</v>
      </c>
      <c r="PR4" s="13" t="s">
        <v>63</v>
      </c>
      <c r="PS4" s="14">
        <v>44410</v>
      </c>
      <c r="PT4" s="13" t="s">
        <v>64</v>
      </c>
      <c r="PU4" s="14">
        <v>44411</v>
      </c>
      <c r="PV4" s="13" t="s">
        <v>65</v>
      </c>
      <c r="PW4" s="14">
        <v>44412</v>
      </c>
      <c r="PX4" s="13" t="s">
        <v>66</v>
      </c>
      <c r="PY4" s="14">
        <v>44413</v>
      </c>
      <c r="PZ4" s="13" t="s">
        <v>67</v>
      </c>
      <c r="QA4" s="14">
        <v>44414</v>
      </c>
      <c r="QB4" s="13" t="s">
        <v>61</v>
      </c>
      <c r="QC4" s="14">
        <v>44415</v>
      </c>
      <c r="QD4" s="13" t="s">
        <v>62</v>
      </c>
      <c r="QE4" s="14">
        <v>44416</v>
      </c>
      <c r="QF4" s="13" t="s">
        <v>63</v>
      </c>
      <c r="QG4" s="14">
        <v>44417</v>
      </c>
      <c r="QH4" s="13" t="s">
        <v>64</v>
      </c>
      <c r="QI4" s="14">
        <v>44418</v>
      </c>
      <c r="QJ4" s="13" t="s">
        <v>65</v>
      </c>
      <c r="QK4" s="14">
        <v>44419</v>
      </c>
      <c r="QL4" s="13" t="s">
        <v>66</v>
      </c>
      <c r="QM4" s="14">
        <v>44420</v>
      </c>
      <c r="QN4" s="13" t="s">
        <v>67</v>
      </c>
      <c r="QO4" s="14">
        <v>44421</v>
      </c>
      <c r="QP4" s="13" t="s">
        <v>61</v>
      </c>
      <c r="QQ4" s="14">
        <v>44422</v>
      </c>
      <c r="QR4" s="13" t="s">
        <v>62</v>
      </c>
      <c r="QS4" s="14">
        <v>44423</v>
      </c>
      <c r="QT4" s="13" t="s">
        <v>63</v>
      </c>
      <c r="QU4" s="14">
        <v>44424</v>
      </c>
      <c r="QV4" s="13" t="s">
        <v>64</v>
      </c>
      <c r="QW4" s="14">
        <v>44425</v>
      </c>
      <c r="QX4" s="13" t="s">
        <v>65</v>
      </c>
      <c r="QY4" s="14">
        <v>44426</v>
      </c>
      <c r="QZ4" s="13" t="s">
        <v>66</v>
      </c>
      <c r="RA4" s="14">
        <v>44427</v>
      </c>
      <c r="RB4" s="13" t="s">
        <v>67</v>
      </c>
      <c r="RC4" s="14">
        <v>44428</v>
      </c>
      <c r="RD4" s="13" t="s">
        <v>61</v>
      </c>
      <c r="RE4" s="14">
        <v>44429</v>
      </c>
      <c r="RF4" s="13" t="s">
        <v>62</v>
      </c>
      <c r="RG4" s="14">
        <v>44430</v>
      </c>
      <c r="RH4" s="13" t="s">
        <v>63</v>
      </c>
      <c r="RI4" s="14">
        <v>44431</v>
      </c>
      <c r="RJ4" s="13" t="s">
        <v>64</v>
      </c>
      <c r="RK4" s="14">
        <v>44432</v>
      </c>
      <c r="RL4" s="13" t="s">
        <v>65</v>
      </c>
      <c r="RM4" s="14">
        <v>44433</v>
      </c>
      <c r="RN4" s="13" t="s">
        <v>66</v>
      </c>
      <c r="RO4" s="14">
        <v>44434</v>
      </c>
      <c r="RP4" s="13" t="s">
        <v>67</v>
      </c>
      <c r="RQ4" s="14">
        <v>44435</v>
      </c>
      <c r="RR4" s="13" t="s">
        <v>61</v>
      </c>
      <c r="RS4" s="14">
        <v>44436</v>
      </c>
      <c r="RT4" s="13" t="s">
        <v>62</v>
      </c>
      <c r="RU4" s="14">
        <v>44437</v>
      </c>
      <c r="RV4" s="13" t="s">
        <v>63</v>
      </c>
      <c r="RW4" s="14">
        <v>44438</v>
      </c>
      <c r="RX4" s="13" t="s">
        <v>64</v>
      </c>
      <c r="RY4" s="14">
        <v>44439</v>
      </c>
      <c r="RZ4" s="13" t="s">
        <v>65</v>
      </c>
      <c r="SA4" s="14">
        <v>44440</v>
      </c>
      <c r="SB4" s="13" t="s">
        <v>66</v>
      </c>
      <c r="SC4" s="14">
        <v>44441</v>
      </c>
      <c r="SD4" s="13" t="s">
        <v>67</v>
      </c>
      <c r="SE4" s="14">
        <v>44442</v>
      </c>
      <c r="SF4" s="13" t="s">
        <v>61</v>
      </c>
      <c r="SG4" s="14">
        <v>44443</v>
      </c>
      <c r="SH4" s="13" t="s">
        <v>62</v>
      </c>
      <c r="SI4" s="14">
        <v>44444</v>
      </c>
      <c r="SJ4" s="13" t="s">
        <v>63</v>
      </c>
      <c r="SK4" s="14">
        <v>44445</v>
      </c>
      <c r="SL4" s="13" t="s">
        <v>64</v>
      </c>
      <c r="SM4" s="14">
        <v>44446</v>
      </c>
      <c r="SN4" s="13" t="s">
        <v>65</v>
      </c>
      <c r="SO4" s="14">
        <v>44447</v>
      </c>
      <c r="SP4" s="13" t="s">
        <v>66</v>
      </c>
      <c r="SQ4" s="14">
        <v>44448</v>
      </c>
      <c r="SR4" s="13" t="s">
        <v>67</v>
      </c>
      <c r="SS4" s="14">
        <v>44449</v>
      </c>
      <c r="ST4" s="13" t="s">
        <v>61</v>
      </c>
      <c r="SU4" s="14">
        <v>44450</v>
      </c>
      <c r="SV4" s="13" t="s">
        <v>62</v>
      </c>
      <c r="SW4" s="14">
        <v>44451</v>
      </c>
      <c r="SX4" s="13" t="s">
        <v>63</v>
      </c>
      <c r="SY4" s="14">
        <v>44452</v>
      </c>
      <c r="SZ4" s="13" t="s">
        <v>64</v>
      </c>
      <c r="TA4" s="14">
        <v>44453</v>
      </c>
      <c r="TB4" s="13" t="s">
        <v>65</v>
      </c>
      <c r="TC4" s="14">
        <v>44454</v>
      </c>
      <c r="TD4" s="13" t="s">
        <v>66</v>
      </c>
      <c r="TE4" s="14">
        <v>44455</v>
      </c>
      <c r="TF4" s="13" t="s">
        <v>67</v>
      </c>
      <c r="TG4" s="14">
        <v>44456</v>
      </c>
      <c r="TH4" s="13" t="s">
        <v>61</v>
      </c>
      <c r="TI4" s="14">
        <v>44457</v>
      </c>
      <c r="TJ4" s="13" t="s">
        <v>62</v>
      </c>
      <c r="TK4" s="14">
        <v>44458</v>
      </c>
      <c r="TL4" s="13" t="s">
        <v>63</v>
      </c>
      <c r="TM4" s="14">
        <v>44459</v>
      </c>
      <c r="TN4" s="13" t="s">
        <v>64</v>
      </c>
      <c r="TO4" s="14">
        <v>44460</v>
      </c>
      <c r="TP4" s="13" t="s">
        <v>65</v>
      </c>
      <c r="TQ4" s="14">
        <v>44461</v>
      </c>
      <c r="TR4" s="13" t="s">
        <v>66</v>
      </c>
      <c r="TS4" s="14">
        <v>44462</v>
      </c>
      <c r="TT4" s="13" t="s">
        <v>67</v>
      </c>
      <c r="TU4" s="14">
        <v>44463</v>
      </c>
      <c r="TV4" s="13" t="s">
        <v>61</v>
      </c>
      <c r="TW4" s="14">
        <v>44464</v>
      </c>
      <c r="TX4" s="13" t="s">
        <v>62</v>
      </c>
      <c r="TY4" s="14">
        <v>44465</v>
      </c>
      <c r="TZ4" s="13" t="s">
        <v>63</v>
      </c>
      <c r="UA4" s="14">
        <v>44466</v>
      </c>
      <c r="UB4" s="13" t="s">
        <v>64</v>
      </c>
      <c r="UC4" s="14">
        <v>44467</v>
      </c>
      <c r="UD4" s="13" t="s">
        <v>65</v>
      </c>
      <c r="UE4" s="14">
        <v>44468</v>
      </c>
      <c r="UF4" s="13" t="s">
        <v>66</v>
      </c>
      <c r="UG4" s="14">
        <v>44469</v>
      </c>
      <c r="UH4" s="13" t="s">
        <v>67</v>
      </c>
      <c r="UI4" s="14">
        <v>44470</v>
      </c>
      <c r="UJ4" s="13" t="s">
        <v>61</v>
      </c>
      <c r="UK4" s="14">
        <v>44471</v>
      </c>
      <c r="UL4" s="13" t="s">
        <v>62</v>
      </c>
      <c r="UM4" s="14">
        <v>44472</v>
      </c>
      <c r="UN4" s="13" t="s">
        <v>63</v>
      </c>
      <c r="UO4" s="14">
        <v>44473</v>
      </c>
      <c r="UP4" s="13" t="s">
        <v>64</v>
      </c>
      <c r="UQ4" s="14">
        <v>44474</v>
      </c>
      <c r="UR4" s="13" t="s">
        <v>65</v>
      </c>
      <c r="US4" s="14">
        <v>44475</v>
      </c>
      <c r="UT4" s="13" t="s">
        <v>66</v>
      </c>
      <c r="UU4" s="14">
        <v>44476</v>
      </c>
      <c r="UV4" s="13" t="s">
        <v>67</v>
      </c>
      <c r="UW4" s="14">
        <v>44477</v>
      </c>
      <c r="UX4" s="13" t="s">
        <v>61</v>
      </c>
      <c r="UY4" s="14">
        <v>44478</v>
      </c>
      <c r="UZ4" s="13" t="s">
        <v>62</v>
      </c>
      <c r="VA4" s="14">
        <v>44479</v>
      </c>
      <c r="VB4" s="13" t="s">
        <v>63</v>
      </c>
      <c r="VC4" s="14">
        <v>44480</v>
      </c>
      <c r="VD4" s="13" t="s">
        <v>64</v>
      </c>
      <c r="VE4" s="14">
        <v>44481</v>
      </c>
      <c r="VF4" s="13" t="s">
        <v>65</v>
      </c>
      <c r="VG4" s="14">
        <v>44482</v>
      </c>
      <c r="VH4" s="13" t="s">
        <v>66</v>
      </c>
      <c r="VI4" s="14">
        <v>44483</v>
      </c>
      <c r="VJ4" s="13" t="s">
        <v>67</v>
      </c>
      <c r="VK4" s="14">
        <v>44484</v>
      </c>
      <c r="VL4" s="13" t="s">
        <v>61</v>
      </c>
      <c r="VM4" s="14">
        <v>44485</v>
      </c>
      <c r="VN4" s="13" t="s">
        <v>62</v>
      </c>
      <c r="VO4" s="14">
        <v>44486</v>
      </c>
      <c r="VP4" s="13" t="s">
        <v>63</v>
      </c>
      <c r="VQ4" s="14">
        <v>44487</v>
      </c>
      <c r="VR4" s="13" t="s">
        <v>64</v>
      </c>
      <c r="VS4" s="14">
        <v>44488</v>
      </c>
      <c r="VT4" s="13" t="s">
        <v>65</v>
      </c>
      <c r="VU4" s="14">
        <v>44489</v>
      </c>
      <c r="VV4" s="13" t="s">
        <v>66</v>
      </c>
      <c r="VW4" s="14">
        <v>44490</v>
      </c>
      <c r="VX4" s="13" t="s">
        <v>67</v>
      </c>
      <c r="VY4" s="14">
        <v>44491</v>
      </c>
      <c r="VZ4" s="13" t="s">
        <v>61</v>
      </c>
      <c r="WA4" s="14">
        <v>44492</v>
      </c>
      <c r="WB4" s="13" t="s">
        <v>62</v>
      </c>
      <c r="WC4" s="14">
        <v>44493</v>
      </c>
      <c r="WD4" s="13" t="s">
        <v>63</v>
      </c>
      <c r="WE4" s="14">
        <v>44494</v>
      </c>
      <c r="WF4" s="13" t="s">
        <v>64</v>
      </c>
      <c r="WG4" s="14">
        <v>44495</v>
      </c>
      <c r="WH4" s="13" t="s">
        <v>65</v>
      </c>
      <c r="WI4" s="14">
        <v>44496</v>
      </c>
      <c r="WJ4" s="13" t="s">
        <v>66</v>
      </c>
      <c r="WK4" s="14">
        <v>44497</v>
      </c>
      <c r="WL4" s="13" t="s">
        <v>67</v>
      </c>
      <c r="WM4" s="14">
        <v>44498</v>
      </c>
      <c r="WN4" s="13" t="s">
        <v>61</v>
      </c>
      <c r="WO4" s="14">
        <v>44499</v>
      </c>
      <c r="WP4" s="13" t="s">
        <v>62</v>
      </c>
      <c r="WQ4" s="14">
        <v>44500</v>
      </c>
      <c r="WR4" s="13" t="s">
        <v>63</v>
      </c>
      <c r="WS4" s="14">
        <v>44501</v>
      </c>
      <c r="WT4" s="13" t="s">
        <v>64</v>
      </c>
      <c r="WU4" s="14">
        <v>44502</v>
      </c>
      <c r="WV4" s="13" t="s">
        <v>65</v>
      </c>
      <c r="WW4" s="14">
        <v>44503</v>
      </c>
      <c r="WX4" s="13" t="s">
        <v>66</v>
      </c>
      <c r="WY4" s="14">
        <v>44504</v>
      </c>
      <c r="WZ4" s="13" t="s">
        <v>67</v>
      </c>
      <c r="XA4" s="14">
        <v>44505</v>
      </c>
      <c r="XB4" s="13" t="s">
        <v>61</v>
      </c>
      <c r="XC4" s="14">
        <v>44506</v>
      </c>
      <c r="XD4" s="13" t="s">
        <v>62</v>
      </c>
      <c r="XE4" s="14">
        <v>44507</v>
      </c>
      <c r="XF4" s="13" t="s">
        <v>63</v>
      </c>
      <c r="XG4" s="14">
        <v>44508</v>
      </c>
      <c r="XH4" s="13" t="s">
        <v>64</v>
      </c>
      <c r="XI4" s="14">
        <v>44509</v>
      </c>
      <c r="XJ4" s="13" t="s">
        <v>65</v>
      </c>
      <c r="XK4" s="14">
        <v>44510</v>
      </c>
      <c r="XL4" s="13" t="s">
        <v>66</v>
      </c>
      <c r="XM4" s="14">
        <v>44511</v>
      </c>
      <c r="XN4" s="13" t="s">
        <v>67</v>
      </c>
      <c r="XO4" s="14">
        <v>44512</v>
      </c>
      <c r="XP4" s="13" t="s">
        <v>61</v>
      </c>
      <c r="XQ4" s="14">
        <v>44513</v>
      </c>
      <c r="XR4" s="13" t="s">
        <v>62</v>
      </c>
      <c r="XS4" s="14">
        <v>44514</v>
      </c>
      <c r="XT4" s="13" t="s">
        <v>63</v>
      </c>
      <c r="XU4" s="14">
        <v>44515</v>
      </c>
      <c r="XV4" s="13" t="s">
        <v>64</v>
      </c>
      <c r="XW4" s="14">
        <v>44516</v>
      </c>
      <c r="XX4" s="13" t="s">
        <v>65</v>
      </c>
      <c r="XY4" s="14">
        <v>44517</v>
      </c>
      <c r="XZ4" s="13" t="s">
        <v>66</v>
      </c>
      <c r="YA4" s="14">
        <v>44518</v>
      </c>
      <c r="YB4" s="13" t="s">
        <v>67</v>
      </c>
      <c r="YC4" s="14">
        <v>44519</v>
      </c>
      <c r="YD4" s="13" t="s">
        <v>61</v>
      </c>
      <c r="YE4" s="14">
        <v>44520</v>
      </c>
      <c r="YF4" s="13" t="s">
        <v>62</v>
      </c>
      <c r="YG4" s="14">
        <v>44521</v>
      </c>
      <c r="YH4" s="13" t="s">
        <v>63</v>
      </c>
      <c r="YI4" s="14">
        <v>44522</v>
      </c>
      <c r="YJ4" s="13" t="s">
        <v>64</v>
      </c>
      <c r="YK4" s="14">
        <v>44523</v>
      </c>
      <c r="YL4" s="13" t="s">
        <v>65</v>
      </c>
      <c r="YM4" s="14">
        <v>44524</v>
      </c>
      <c r="YN4" s="13" t="s">
        <v>66</v>
      </c>
      <c r="YO4" s="14">
        <v>44525</v>
      </c>
      <c r="YP4" s="13" t="s">
        <v>67</v>
      </c>
      <c r="YQ4" s="14">
        <v>44526</v>
      </c>
      <c r="YR4" s="13" t="s">
        <v>61</v>
      </c>
      <c r="YS4" s="14">
        <v>44527</v>
      </c>
      <c r="YT4" s="13" t="s">
        <v>62</v>
      </c>
      <c r="YU4" s="14">
        <v>44528</v>
      </c>
      <c r="YV4" s="13" t="s">
        <v>63</v>
      </c>
      <c r="YW4" s="14">
        <v>44529</v>
      </c>
      <c r="YX4" s="13" t="s">
        <v>64</v>
      </c>
      <c r="YY4" s="14">
        <v>44530</v>
      </c>
      <c r="YZ4" s="13" t="s">
        <v>65</v>
      </c>
      <c r="ZA4" s="14">
        <v>44531</v>
      </c>
      <c r="ZB4" s="13" t="s">
        <v>66</v>
      </c>
      <c r="ZC4" s="14">
        <v>44532</v>
      </c>
      <c r="ZD4" s="13" t="s">
        <v>67</v>
      </c>
      <c r="ZE4" s="14">
        <v>44533</v>
      </c>
      <c r="ZF4" s="13" t="s">
        <v>61</v>
      </c>
      <c r="ZG4" s="14">
        <v>44534</v>
      </c>
      <c r="ZH4" s="13" t="s">
        <v>62</v>
      </c>
      <c r="ZI4" s="14">
        <v>44535</v>
      </c>
      <c r="ZJ4" s="13" t="s">
        <v>63</v>
      </c>
      <c r="ZK4" s="14">
        <v>44536</v>
      </c>
      <c r="ZL4" s="13" t="s">
        <v>64</v>
      </c>
      <c r="ZM4" s="14">
        <v>44537</v>
      </c>
      <c r="ZN4" s="13" t="s">
        <v>65</v>
      </c>
      <c r="ZO4" s="14">
        <v>44538</v>
      </c>
      <c r="ZP4" s="13" t="s">
        <v>66</v>
      </c>
      <c r="ZQ4" s="14">
        <v>44539</v>
      </c>
      <c r="ZR4" s="13" t="s">
        <v>67</v>
      </c>
      <c r="ZS4" s="14">
        <v>44540</v>
      </c>
      <c r="ZT4" s="13" t="s">
        <v>61</v>
      </c>
      <c r="ZU4" s="14">
        <v>44541</v>
      </c>
      <c r="ZV4" s="13" t="s">
        <v>62</v>
      </c>
      <c r="ZW4" s="14">
        <v>44542</v>
      </c>
      <c r="ZX4" s="13" t="s">
        <v>63</v>
      </c>
      <c r="ZY4" s="14">
        <v>44543</v>
      </c>
      <c r="ZZ4" s="13" t="s">
        <v>64</v>
      </c>
      <c r="AAA4" s="14">
        <v>44544</v>
      </c>
      <c r="AAB4" s="13" t="s">
        <v>65</v>
      </c>
      <c r="AAC4" s="14">
        <v>44545</v>
      </c>
      <c r="AAD4" s="13" t="s">
        <v>66</v>
      </c>
      <c r="AAE4" s="14">
        <v>44546</v>
      </c>
      <c r="AAF4" s="13" t="s">
        <v>67</v>
      </c>
      <c r="AAG4" s="14">
        <v>44547</v>
      </c>
      <c r="AAH4" s="13" t="s">
        <v>61</v>
      </c>
      <c r="AAI4" s="14">
        <v>44548</v>
      </c>
      <c r="AAJ4" s="13" t="s">
        <v>62</v>
      </c>
      <c r="AAK4" s="14">
        <v>44549</v>
      </c>
      <c r="AAL4" s="13" t="s">
        <v>63</v>
      </c>
      <c r="AAM4" s="14">
        <v>44550</v>
      </c>
      <c r="AAN4" s="13" t="s">
        <v>64</v>
      </c>
      <c r="AAO4" s="14">
        <v>44551</v>
      </c>
      <c r="AAP4" s="13" t="s">
        <v>65</v>
      </c>
      <c r="AAQ4" s="14">
        <v>44552</v>
      </c>
      <c r="AAR4" s="13" t="s">
        <v>66</v>
      </c>
      <c r="AAS4" s="14">
        <v>44553</v>
      </c>
      <c r="AAT4" s="13" t="s">
        <v>67</v>
      </c>
      <c r="AAU4" s="14">
        <v>44554</v>
      </c>
      <c r="AAV4" s="13" t="s">
        <v>61</v>
      </c>
      <c r="AAW4" s="14">
        <v>44555</v>
      </c>
      <c r="AAX4" s="13" t="s">
        <v>62</v>
      </c>
      <c r="AAY4" s="14">
        <v>44556</v>
      </c>
      <c r="AAZ4" s="13" t="s">
        <v>63</v>
      </c>
      <c r="ABA4" s="14">
        <v>44557</v>
      </c>
      <c r="ABB4" s="13" t="s">
        <v>64</v>
      </c>
      <c r="ABC4" s="14">
        <v>44558</v>
      </c>
      <c r="ABD4" s="13" t="s">
        <v>65</v>
      </c>
      <c r="ABE4" s="14">
        <v>44559</v>
      </c>
      <c r="ABF4" s="13" t="s">
        <v>66</v>
      </c>
      <c r="ABG4" s="14">
        <v>44560</v>
      </c>
      <c r="ABH4" s="13" t="s">
        <v>67</v>
      </c>
      <c r="ABI4" s="14">
        <v>44561</v>
      </c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</row>
    <row r="5" spans="1:752" x14ac:dyDescent="0.3">
      <c r="A5" s="35"/>
      <c r="B5" s="36"/>
      <c r="C5" s="36"/>
      <c r="D5" s="37"/>
      <c r="E5" s="10"/>
      <c r="F5" s="47"/>
      <c r="G5" s="48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</row>
    <row r="6" spans="1:752" x14ac:dyDescent="0.3">
      <c r="A6" s="35"/>
      <c r="B6" s="36"/>
      <c r="C6" s="36"/>
      <c r="D6" s="37"/>
      <c r="E6" s="10"/>
      <c r="F6" s="47"/>
      <c r="G6" s="48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</row>
    <row r="7" spans="1:752" x14ac:dyDescent="0.3">
      <c r="A7" s="35"/>
      <c r="B7" s="36"/>
      <c r="C7" s="36"/>
      <c r="D7" s="37"/>
      <c r="E7" s="10"/>
      <c r="F7" s="47"/>
      <c r="G7" s="48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</row>
    <row r="8" spans="1:752" x14ac:dyDescent="0.3">
      <c r="A8" s="35"/>
      <c r="B8" s="36"/>
      <c r="C8" s="36"/>
      <c r="D8" s="37"/>
      <c r="E8" s="10"/>
      <c r="F8" s="47"/>
      <c r="G8" s="4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</row>
    <row r="9" spans="1:752" x14ac:dyDescent="0.3">
      <c r="A9" s="35"/>
      <c r="B9" s="36"/>
      <c r="C9" s="36"/>
      <c r="D9" s="37"/>
      <c r="E9" s="10"/>
      <c r="F9" s="47"/>
      <c r="G9" s="4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</row>
    <row r="10" spans="1:752" x14ac:dyDescent="0.3">
      <c r="A10" s="35"/>
      <c r="B10" s="36"/>
      <c r="C10" s="36"/>
      <c r="D10" s="37"/>
      <c r="E10" s="10"/>
      <c r="F10" s="47"/>
      <c r="G10" s="48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</row>
  </sheetData>
  <mergeCells count="16">
    <mergeCell ref="F10:G10"/>
    <mergeCell ref="F9:G9"/>
    <mergeCell ref="F8:G8"/>
    <mergeCell ref="F7:G7"/>
    <mergeCell ref="F6:G6"/>
    <mergeCell ref="A5:D5"/>
    <mergeCell ref="A1:A3"/>
    <mergeCell ref="B1:B3"/>
    <mergeCell ref="A4:D4"/>
    <mergeCell ref="E4:G4"/>
    <mergeCell ref="F5:G5"/>
    <mergeCell ref="A10:D10"/>
    <mergeCell ref="A9:D9"/>
    <mergeCell ref="A8:D8"/>
    <mergeCell ref="A7:D7"/>
    <mergeCell ref="A6:D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B0F54-5B7F-4636-8798-98E0A6F54DED}">
  <sheetPr codeName="Sheet2">
    <tabColor rgb="FFFFC000"/>
  </sheetPr>
  <dimension ref="A1:ABX10"/>
  <sheetViews>
    <sheetView workbookViewId="0">
      <pane xSplit="7" ySplit="4" topLeftCell="ON5" activePane="bottomRight" state="frozen"/>
      <selection pane="topRight" activeCell="H1" sqref="H1"/>
      <selection pane="bottomLeft" activeCell="A5" sqref="A5"/>
      <selection pane="bottomRight" activeCell="OS4" sqref="OS4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11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4" customFormat="1" x14ac:dyDescent="0.3">
      <c r="A1" s="39" t="s">
        <v>57</v>
      </c>
      <c r="B1" s="41" t="s">
        <v>60</v>
      </c>
      <c r="E1" s="8"/>
      <c r="F1" s="8"/>
      <c r="G1" s="8"/>
    </row>
    <row r="2" spans="1:752" s="5" customFormat="1" x14ac:dyDescent="0.3">
      <c r="A2" s="40"/>
      <c r="B2" s="42"/>
      <c r="E2" s="9"/>
      <c r="F2" s="9"/>
      <c r="G2" s="9"/>
    </row>
    <row r="3" spans="1:752" s="12" customFormat="1" ht="17.25" thickBot="1" x14ac:dyDescent="0.35">
      <c r="A3" s="40"/>
      <c r="B3" s="42"/>
      <c r="C3" s="5"/>
      <c r="D3" s="5"/>
      <c r="E3" s="9"/>
      <c r="F3" s="9"/>
      <c r="G3" s="9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</row>
    <row r="4" spans="1:752" x14ac:dyDescent="0.3">
      <c r="A4" s="43" t="s">
        <v>69</v>
      </c>
      <c r="B4" s="44"/>
      <c r="C4" s="44"/>
      <c r="D4" s="44"/>
      <c r="E4" s="45" t="s">
        <v>70</v>
      </c>
      <c r="F4" s="46"/>
      <c r="G4" s="46"/>
      <c r="H4" s="13" t="s">
        <v>67</v>
      </c>
      <c r="I4" s="14">
        <v>44197</v>
      </c>
      <c r="J4" s="13" t="s">
        <v>61</v>
      </c>
      <c r="K4" s="14">
        <v>44198</v>
      </c>
      <c r="L4" s="13" t="s">
        <v>62</v>
      </c>
      <c r="M4" s="14">
        <v>44199</v>
      </c>
      <c r="N4" s="13" t="s">
        <v>63</v>
      </c>
      <c r="O4" s="14">
        <v>44200</v>
      </c>
      <c r="P4" s="13" t="s">
        <v>64</v>
      </c>
      <c r="Q4" s="14">
        <v>44201</v>
      </c>
      <c r="R4" s="13" t="s">
        <v>65</v>
      </c>
      <c r="S4" s="14">
        <v>44202</v>
      </c>
      <c r="T4" s="13" t="s">
        <v>66</v>
      </c>
      <c r="U4" s="14">
        <v>44203</v>
      </c>
      <c r="V4" s="13" t="s">
        <v>67</v>
      </c>
      <c r="W4" s="14">
        <v>44204</v>
      </c>
      <c r="X4" s="13" t="s">
        <v>61</v>
      </c>
      <c r="Y4" s="14">
        <v>44205</v>
      </c>
      <c r="Z4" s="13" t="s">
        <v>62</v>
      </c>
      <c r="AA4" s="14">
        <v>44206</v>
      </c>
      <c r="AB4" s="13" t="s">
        <v>63</v>
      </c>
      <c r="AC4" s="14">
        <v>44207</v>
      </c>
      <c r="AD4" s="13" t="s">
        <v>64</v>
      </c>
      <c r="AE4" s="14">
        <v>44208</v>
      </c>
      <c r="AF4" s="13" t="s">
        <v>65</v>
      </c>
      <c r="AG4" s="14">
        <v>44209</v>
      </c>
      <c r="AH4" s="13" t="s">
        <v>66</v>
      </c>
      <c r="AI4" s="14">
        <v>44210</v>
      </c>
      <c r="AJ4" s="13" t="s">
        <v>67</v>
      </c>
      <c r="AK4" s="14">
        <v>44211</v>
      </c>
      <c r="AL4" s="13" t="s">
        <v>61</v>
      </c>
      <c r="AM4" s="14">
        <v>44212</v>
      </c>
      <c r="AN4" s="13" t="s">
        <v>62</v>
      </c>
      <c r="AO4" s="14">
        <v>44213</v>
      </c>
      <c r="AP4" s="13" t="s">
        <v>63</v>
      </c>
      <c r="AQ4" s="14">
        <v>44214</v>
      </c>
      <c r="AR4" s="13" t="s">
        <v>64</v>
      </c>
      <c r="AS4" s="14">
        <v>44215</v>
      </c>
      <c r="AT4" s="13" t="s">
        <v>65</v>
      </c>
      <c r="AU4" s="14">
        <v>44216</v>
      </c>
      <c r="AV4" s="13" t="s">
        <v>66</v>
      </c>
      <c r="AW4" s="14">
        <v>44217</v>
      </c>
      <c r="AX4" s="13" t="s">
        <v>67</v>
      </c>
      <c r="AY4" s="14">
        <v>44218</v>
      </c>
      <c r="AZ4" s="13" t="s">
        <v>61</v>
      </c>
      <c r="BA4" s="14">
        <v>44219</v>
      </c>
      <c r="BB4" s="13" t="s">
        <v>62</v>
      </c>
      <c r="BC4" s="14">
        <v>44220</v>
      </c>
      <c r="BD4" s="13" t="s">
        <v>63</v>
      </c>
      <c r="BE4" s="14">
        <v>44221</v>
      </c>
      <c r="BF4" s="13" t="s">
        <v>64</v>
      </c>
      <c r="BG4" s="14">
        <v>44222</v>
      </c>
      <c r="BH4" s="13" t="s">
        <v>65</v>
      </c>
      <c r="BI4" s="14">
        <v>44223</v>
      </c>
      <c r="BJ4" s="13" t="s">
        <v>66</v>
      </c>
      <c r="BK4" s="14">
        <v>44224</v>
      </c>
      <c r="BL4" s="13" t="s">
        <v>67</v>
      </c>
      <c r="BM4" s="14">
        <v>44225</v>
      </c>
      <c r="BN4" s="13" t="s">
        <v>61</v>
      </c>
      <c r="BO4" s="14">
        <v>44226</v>
      </c>
      <c r="BP4" s="13" t="s">
        <v>62</v>
      </c>
      <c r="BQ4" s="14">
        <v>44227</v>
      </c>
      <c r="BR4" s="13" t="s">
        <v>63</v>
      </c>
      <c r="BS4" s="14">
        <v>44228</v>
      </c>
      <c r="BT4" s="13" t="s">
        <v>64</v>
      </c>
      <c r="BU4" s="14">
        <v>44229</v>
      </c>
      <c r="BV4" s="13" t="s">
        <v>65</v>
      </c>
      <c r="BW4" s="14">
        <v>44230</v>
      </c>
      <c r="BX4" s="13" t="s">
        <v>66</v>
      </c>
      <c r="BY4" s="14">
        <v>44231</v>
      </c>
      <c r="BZ4" s="13" t="s">
        <v>67</v>
      </c>
      <c r="CA4" s="14">
        <v>44232</v>
      </c>
      <c r="CB4" s="13" t="s">
        <v>61</v>
      </c>
      <c r="CC4" s="14">
        <v>44233</v>
      </c>
      <c r="CD4" s="13" t="s">
        <v>62</v>
      </c>
      <c r="CE4" s="14">
        <v>44234</v>
      </c>
      <c r="CF4" s="13" t="s">
        <v>63</v>
      </c>
      <c r="CG4" s="14">
        <v>44235</v>
      </c>
      <c r="CH4" s="13" t="s">
        <v>64</v>
      </c>
      <c r="CI4" s="14">
        <v>44236</v>
      </c>
      <c r="CJ4" s="13" t="s">
        <v>65</v>
      </c>
      <c r="CK4" s="14">
        <v>44237</v>
      </c>
      <c r="CL4" s="13" t="s">
        <v>66</v>
      </c>
      <c r="CM4" s="14">
        <v>44238</v>
      </c>
      <c r="CN4" s="13" t="s">
        <v>67</v>
      </c>
      <c r="CO4" s="14">
        <v>44239</v>
      </c>
      <c r="CP4" s="13" t="s">
        <v>61</v>
      </c>
      <c r="CQ4" s="14">
        <v>44240</v>
      </c>
      <c r="CR4" s="13" t="s">
        <v>62</v>
      </c>
      <c r="CS4" s="14">
        <v>44241</v>
      </c>
      <c r="CT4" s="13" t="s">
        <v>63</v>
      </c>
      <c r="CU4" s="14">
        <v>44242</v>
      </c>
      <c r="CV4" s="13" t="s">
        <v>64</v>
      </c>
      <c r="CW4" s="14">
        <v>44243</v>
      </c>
      <c r="CX4" s="13" t="s">
        <v>65</v>
      </c>
      <c r="CY4" s="14">
        <v>44244</v>
      </c>
      <c r="CZ4" s="13" t="s">
        <v>66</v>
      </c>
      <c r="DA4" s="14">
        <v>44245</v>
      </c>
      <c r="DB4" s="13" t="s">
        <v>67</v>
      </c>
      <c r="DC4" s="14">
        <v>44246</v>
      </c>
      <c r="DD4" s="13" t="s">
        <v>61</v>
      </c>
      <c r="DE4" s="14">
        <v>44247</v>
      </c>
      <c r="DF4" s="13" t="s">
        <v>62</v>
      </c>
      <c r="DG4" s="14">
        <v>44248</v>
      </c>
      <c r="DH4" s="13" t="s">
        <v>63</v>
      </c>
      <c r="DI4" s="14">
        <v>44249</v>
      </c>
      <c r="DJ4" s="13" t="s">
        <v>64</v>
      </c>
      <c r="DK4" s="14">
        <v>44250</v>
      </c>
      <c r="DL4" s="13" t="s">
        <v>65</v>
      </c>
      <c r="DM4" s="14">
        <v>44251</v>
      </c>
      <c r="DN4" s="13" t="s">
        <v>66</v>
      </c>
      <c r="DO4" s="14">
        <v>44252</v>
      </c>
      <c r="DP4" s="13" t="s">
        <v>67</v>
      </c>
      <c r="DQ4" s="14">
        <v>44253</v>
      </c>
      <c r="DR4" s="13" t="s">
        <v>61</v>
      </c>
      <c r="DS4" s="14">
        <v>44254</v>
      </c>
      <c r="DT4" s="13" t="s">
        <v>62</v>
      </c>
      <c r="DU4" s="14">
        <v>44255</v>
      </c>
      <c r="DV4" s="13" t="s">
        <v>63</v>
      </c>
      <c r="DW4" s="14">
        <v>44256</v>
      </c>
      <c r="DX4" s="13" t="s">
        <v>64</v>
      </c>
      <c r="DY4" s="14">
        <v>44257</v>
      </c>
      <c r="DZ4" s="13" t="s">
        <v>65</v>
      </c>
      <c r="EA4" s="14">
        <v>44258</v>
      </c>
      <c r="EB4" s="13" t="s">
        <v>66</v>
      </c>
      <c r="EC4" s="14">
        <v>44259</v>
      </c>
      <c r="ED4" s="13" t="s">
        <v>67</v>
      </c>
      <c r="EE4" s="14">
        <v>44260</v>
      </c>
      <c r="EF4" s="13" t="s">
        <v>61</v>
      </c>
      <c r="EG4" s="14">
        <v>44261</v>
      </c>
      <c r="EH4" s="13" t="s">
        <v>62</v>
      </c>
      <c r="EI4" s="14">
        <v>44262</v>
      </c>
      <c r="EJ4" s="13" t="s">
        <v>63</v>
      </c>
      <c r="EK4" s="14">
        <v>44263</v>
      </c>
      <c r="EL4" s="13" t="s">
        <v>64</v>
      </c>
      <c r="EM4" s="14">
        <v>44264</v>
      </c>
      <c r="EN4" s="13" t="s">
        <v>65</v>
      </c>
      <c r="EO4" s="14">
        <v>44265</v>
      </c>
      <c r="EP4" s="13" t="s">
        <v>66</v>
      </c>
      <c r="EQ4" s="14">
        <v>44266</v>
      </c>
      <c r="ER4" s="13" t="s">
        <v>67</v>
      </c>
      <c r="ES4" s="14">
        <v>44267</v>
      </c>
      <c r="ET4" s="13" t="s">
        <v>61</v>
      </c>
      <c r="EU4" s="14">
        <v>44268</v>
      </c>
      <c r="EV4" s="13" t="s">
        <v>62</v>
      </c>
      <c r="EW4" s="14">
        <v>44269</v>
      </c>
      <c r="EX4" s="13" t="s">
        <v>63</v>
      </c>
      <c r="EY4" s="14">
        <v>44270</v>
      </c>
      <c r="EZ4" s="13" t="s">
        <v>64</v>
      </c>
      <c r="FA4" s="14">
        <v>44271</v>
      </c>
      <c r="FB4" s="13" t="s">
        <v>65</v>
      </c>
      <c r="FC4" s="14">
        <v>44272</v>
      </c>
      <c r="FD4" s="13" t="s">
        <v>66</v>
      </c>
      <c r="FE4" s="14">
        <v>44273</v>
      </c>
      <c r="FF4" s="13" t="s">
        <v>67</v>
      </c>
      <c r="FG4" s="14">
        <v>44274</v>
      </c>
      <c r="FH4" s="13" t="s">
        <v>61</v>
      </c>
      <c r="FI4" s="14">
        <v>44275</v>
      </c>
      <c r="FJ4" s="13" t="s">
        <v>62</v>
      </c>
      <c r="FK4" s="14">
        <v>44276</v>
      </c>
      <c r="FL4" s="13" t="s">
        <v>63</v>
      </c>
      <c r="FM4" s="14">
        <v>44277</v>
      </c>
      <c r="FN4" s="13" t="s">
        <v>64</v>
      </c>
      <c r="FO4" s="14">
        <v>44278</v>
      </c>
      <c r="FP4" s="13" t="s">
        <v>65</v>
      </c>
      <c r="FQ4" s="14">
        <v>44279</v>
      </c>
      <c r="FR4" s="13" t="s">
        <v>66</v>
      </c>
      <c r="FS4" s="14">
        <v>44280</v>
      </c>
      <c r="FT4" s="13" t="s">
        <v>67</v>
      </c>
      <c r="FU4" s="14">
        <v>44281</v>
      </c>
      <c r="FV4" s="13" t="s">
        <v>61</v>
      </c>
      <c r="FW4" s="14">
        <v>44282</v>
      </c>
      <c r="FX4" s="13" t="s">
        <v>62</v>
      </c>
      <c r="FY4" s="14">
        <v>44283</v>
      </c>
      <c r="FZ4" s="13" t="s">
        <v>63</v>
      </c>
      <c r="GA4" s="14">
        <v>44284</v>
      </c>
      <c r="GB4" s="13" t="s">
        <v>64</v>
      </c>
      <c r="GC4" s="14">
        <v>44285</v>
      </c>
      <c r="GD4" s="13" t="s">
        <v>65</v>
      </c>
      <c r="GE4" s="14">
        <v>44286</v>
      </c>
      <c r="GF4" s="13" t="s">
        <v>66</v>
      </c>
      <c r="GG4" s="14">
        <v>44287</v>
      </c>
      <c r="GH4" s="13" t="s">
        <v>67</v>
      </c>
      <c r="GI4" s="14">
        <v>44288</v>
      </c>
      <c r="GJ4" s="13" t="s">
        <v>61</v>
      </c>
      <c r="GK4" s="14">
        <v>44289</v>
      </c>
      <c r="GL4" s="13" t="s">
        <v>62</v>
      </c>
      <c r="GM4" s="14">
        <v>44290</v>
      </c>
      <c r="GN4" s="13" t="s">
        <v>63</v>
      </c>
      <c r="GO4" s="14">
        <v>44291</v>
      </c>
      <c r="GP4" s="13" t="s">
        <v>64</v>
      </c>
      <c r="GQ4" s="14">
        <v>44292</v>
      </c>
      <c r="GR4" s="13" t="s">
        <v>65</v>
      </c>
      <c r="GS4" s="14">
        <v>44293</v>
      </c>
      <c r="GT4" s="13" t="s">
        <v>66</v>
      </c>
      <c r="GU4" s="14">
        <v>44294</v>
      </c>
      <c r="GV4" s="13" t="s">
        <v>67</v>
      </c>
      <c r="GW4" s="14">
        <v>44295</v>
      </c>
      <c r="GX4" s="13" t="s">
        <v>61</v>
      </c>
      <c r="GY4" s="14">
        <v>44296</v>
      </c>
      <c r="GZ4" s="13" t="s">
        <v>62</v>
      </c>
      <c r="HA4" s="14">
        <v>44297</v>
      </c>
      <c r="HB4" s="13" t="s">
        <v>63</v>
      </c>
      <c r="HC4" s="14">
        <v>44298</v>
      </c>
      <c r="HD4" s="13" t="s">
        <v>64</v>
      </c>
      <c r="HE4" s="14">
        <v>44299</v>
      </c>
      <c r="HF4" s="13" t="s">
        <v>65</v>
      </c>
      <c r="HG4" s="14">
        <v>44300</v>
      </c>
      <c r="HH4" s="13" t="s">
        <v>66</v>
      </c>
      <c r="HI4" s="14">
        <v>44301</v>
      </c>
      <c r="HJ4" s="13" t="s">
        <v>67</v>
      </c>
      <c r="HK4" s="14">
        <v>44302</v>
      </c>
      <c r="HL4" s="13" t="s">
        <v>61</v>
      </c>
      <c r="HM4" s="14">
        <v>44303</v>
      </c>
      <c r="HN4" s="13" t="s">
        <v>62</v>
      </c>
      <c r="HO4" s="14">
        <v>44304</v>
      </c>
      <c r="HP4" s="13" t="s">
        <v>63</v>
      </c>
      <c r="HQ4" s="14">
        <v>44305</v>
      </c>
      <c r="HR4" s="13" t="s">
        <v>64</v>
      </c>
      <c r="HS4" s="14">
        <v>44306</v>
      </c>
      <c r="HT4" s="13" t="s">
        <v>65</v>
      </c>
      <c r="HU4" s="14">
        <v>44307</v>
      </c>
      <c r="HV4" s="13" t="s">
        <v>66</v>
      </c>
      <c r="HW4" s="14">
        <v>44308</v>
      </c>
      <c r="HX4" s="13" t="s">
        <v>67</v>
      </c>
      <c r="HY4" s="14">
        <v>44309</v>
      </c>
      <c r="HZ4" s="13" t="s">
        <v>61</v>
      </c>
      <c r="IA4" s="14">
        <v>44310</v>
      </c>
      <c r="IB4" s="13" t="s">
        <v>62</v>
      </c>
      <c r="IC4" s="14">
        <v>44311</v>
      </c>
      <c r="ID4" s="13" t="s">
        <v>63</v>
      </c>
      <c r="IE4" s="14">
        <v>44312</v>
      </c>
      <c r="IF4" s="13" t="s">
        <v>64</v>
      </c>
      <c r="IG4" s="14">
        <v>44313</v>
      </c>
      <c r="IH4" s="13" t="s">
        <v>65</v>
      </c>
      <c r="II4" s="14">
        <v>44314</v>
      </c>
      <c r="IJ4" s="13" t="s">
        <v>66</v>
      </c>
      <c r="IK4" s="14">
        <v>44315</v>
      </c>
      <c r="IL4" s="13" t="s">
        <v>67</v>
      </c>
      <c r="IM4" s="14">
        <v>44316</v>
      </c>
      <c r="IN4" s="13" t="s">
        <v>61</v>
      </c>
      <c r="IO4" s="14">
        <v>44317</v>
      </c>
      <c r="IP4" s="13" t="s">
        <v>62</v>
      </c>
      <c r="IQ4" s="14">
        <v>44318</v>
      </c>
      <c r="IR4" s="13" t="s">
        <v>63</v>
      </c>
      <c r="IS4" s="14">
        <v>44319</v>
      </c>
      <c r="IT4" s="13" t="s">
        <v>64</v>
      </c>
      <c r="IU4" s="14">
        <v>44320</v>
      </c>
      <c r="IV4" s="13" t="s">
        <v>65</v>
      </c>
      <c r="IW4" s="14">
        <v>44321</v>
      </c>
      <c r="IX4" s="13" t="s">
        <v>66</v>
      </c>
      <c r="IY4" s="14">
        <v>44322</v>
      </c>
      <c r="IZ4" s="13" t="s">
        <v>67</v>
      </c>
      <c r="JA4" s="14">
        <v>44323</v>
      </c>
      <c r="JB4" s="13" t="s">
        <v>61</v>
      </c>
      <c r="JC4" s="14">
        <v>44324</v>
      </c>
      <c r="JD4" s="13" t="s">
        <v>62</v>
      </c>
      <c r="JE4" s="14">
        <v>44325</v>
      </c>
      <c r="JF4" s="13" t="s">
        <v>63</v>
      </c>
      <c r="JG4" s="14">
        <v>44326</v>
      </c>
      <c r="JH4" s="13" t="s">
        <v>64</v>
      </c>
      <c r="JI4" s="14">
        <v>44327</v>
      </c>
      <c r="JJ4" s="13" t="s">
        <v>65</v>
      </c>
      <c r="JK4" s="14">
        <v>44328</v>
      </c>
      <c r="JL4" s="13" t="s">
        <v>66</v>
      </c>
      <c r="JM4" s="14">
        <v>44329</v>
      </c>
      <c r="JN4" s="13" t="s">
        <v>67</v>
      </c>
      <c r="JO4" s="14">
        <v>44330</v>
      </c>
      <c r="JP4" s="13" t="s">
        <v>61</v>
      </c>
      <c r="JQ4" s="14">
        <v>44331</v>
      </c>
      <c r="JR4" s="13" t="s">
        <v>62</v>
      </c>
      <c r="JS4" s="14">
        <v>44332</v>
      </c>
      <c r="JT4" s="13" t="s">
        <v>63</v>
      </c>
      <c r="JU4" s="14">
        <v>44333</v>
      </c>
      <c r="JV4" s="13" t="s">
        <v>64</v>
      </c>
      <c r="JW4" s="14">
        <v>44334</v>
      </c>
      <c r="JX4" s="13" t="s">
        <v>65</v>
      </c>
      <c r="JY4" s="14">
        <v>44335</v>
      </c>
      <c r="JZ4" s="13" t="s">
        <v>66</v>
      </c>
      <c r="KA4" s="14">
        <v>44336</v>
      </c>
      <c r="KB4" s="13" t="s">
        <v>67</v>
      </c>
      <c r="KC4" s="14">
        <v>44337</v>
      </c>
      <c r="KD4" s="13" t="s">
        <v>61</v>
      </c>
      <c r="KE4" s="14">
        <v>44338</v>
      </c>
      <c r="KF4" s="13" t="s">
        <v>62</v>
      </c>
      <c r="KG4" s="14">
        <v>44339</v>
      </c>
      <c r="KH4" s="13" t="s">
        <v>63</v>
      </c>
      <c r="KI4" s="14">
        <v>44340</v>
      </c>
      <c r="KJ4" s="13" t="s">
        <v>64</v>
      </c>
      <c r="KK4" s="14">
        <v>44341</v>
      </c>
      <c r="KL4" s="13" t="s">
        <v>65</v>
      </c>
      <c r="KM4" s="14">
        <v>44342</v>
      </c>
      <c r="KN4" s="13" t="s">
        <v>66</v>
      </c>
      <c r="KO4" s="14">
        <v>44343</v>
      </c>
      <c r="KP4" s="13" t="s">
        <v>67</v>
      </c>
      <c r="KQ4" s="14">
        <v>44344</v>
      </c>
      <c r="KR4" s="13" t="s">
        <v>61</v>
      </c>
      <c r="KS4" s="14">
        <v>44345</v>
      </c>
      <c r="KT4" s="13" t="s">
        <v>62</v>
      </c>
      <c r="KU4" s="14">
        <v>44346</v>
      </c>
      <c r="KV4" s="13" t="s">
        <v>63</v>
      </c>
      <c r="KW4" s="14">
        <v>44347</v>
      </c>
      <c r="KX4" s="13" t="s">
        <v>64</v>
      </c>
      <c r="KY4" s="14">
        <v>44348</v>
      </c>
      <c r="KZ4" s="13" t="s">
        <v>65</v>
      </c>
      <c r="LA4" s="14">
        <v>44349</v>
      </c>
      <c r="LB4" s="13" t="s">
        <v>66</v>
      </c>
      <c r="LC4" s="14">
        <v>44350</v>
      </c>
      <c r="LD4" s="13" t="s">
        <v>67</v>
      </c>
      <c r="LE4" s="14">
        <v>44351</v>
      </c>
      <c r="LF4" s="13" t="s">
        <v>61</v>
      </c>
      <c r="LG4" s="14">
        <v>44352</v>
      </c>
      <c r="LH4" s="13" t="s">
        <v>62</v>
      </c>
      <c r="LI4" s="14">
        <v>44353</v>
      </c>
      <c r="LJ4" s="13" t="s">
        <v>63</v>
      </c>
      <c r="LK4" s="14">
        <v>44354</v>
      </c>
      <c r="LL4" s="13" t="s">
        <v>64</v>
      </c>
      <c r="LM4" s="14">
        <v>44355</v>
      </c>
      <c r="LN4" s="13" t="s">
        <v>65</v>
      </c>
      <c r="LO4" s="14">
        <v>44356</v>
      </c>
      <c r="LP4" s="13" t="s">
        <v>66</v>
      </c>
      <c r="LQ4" s="14">
        <v>44357</v>
      </c>
      <c r="LR4" s="13" t="s">
        <v>67</v>
      </c>
      <c r="LS4" s="14">
        <v>44358</v>
      </c>
      <c r="LT4" s="13" t="s">
        <v>61</v>
      </c>
      <c r="LU4" s="14">
        <v>44359</v>
      </c>
      <c r="LV4" s="13" t="s">
        <v>62</v>
      </c>
      <c r="LW4" s="14">
        <v>44360</v>
      </c>
      <c r="LX4" s="13" t="s">
        <v>63</v>
      </c>
      <c r="LY4" s="14">
        <v>44361</v>
      </c>
      <c r="LZ4" s="13" t="s">
        <v>64</v>
      </c>
      <c r="MA4" s="14">
        <v>44362</v>
      </c>
      <c r="MB4" s="13" t="s">
        <v>65</v>
      </c>
      <c r="MC4" s="14">
        <v>44363</v>
      </c>
      <c r="MD4" s="13" t="s">
        <v>66</v>
      </c>
      <c r="ME4" s="14">
        <v>44364</v>
      </c>
      <c r="MF4" s="13" t="s">
        <v>67</v>
      </c>
      <c r="MG4" s="14">
        <v>44365</v>
      </c>
      <c r="MH4" s="13" t="s">
        <v>61</v>
      </c>
      <c r="MI4" s="14">
        <v>44366</v>
      </c>
      <c r="MJ4" s="13" t="s">
        <v>62</v>
      </c>
      <c r="MK4" s="14">
        <v>44367</v>
      </c>
      <c r="ML4" s="13" t="s">
        <v>63</v>
      </c>
      <c r="MM4" s="14">
        <v>44368</v>
      </c>
      <c r="MN4" s="13" t="s">
        <v>64</v>
      </c>
      <c r="MO4" s="14">
        <v>44369</v>
      </c>
      <c r="MP4" s="13" t="s">
        <v>65</v>
      </c>
      <c r="MQ4" s="14">
        <v>44370</v>
      </c>
      <c r="MR4" s="13" t="s">
        <v>66</v>
      </c>
      <c r="MS4" s="14">
        <v>44371</v>
      </c>
      <c r="MT4" s="13" t="s">
        <v>67</v>
      </c>
      <c r="MU4" s="14">
        <v>44372</v>
      </c>
      <c r="MV4" s="13" t="s">
        <v>61</v>
      </c>
      <c r="MW4" s="14">
        <v>44373</v>
      </c>
      <c r="MX4" s="13" t="s">
        <v>62</v>
      </c>
      <c r="MY4" s="14">
        <v>44374</v>
      </c>
      <c r="MZ4" s="13" t="s">
        <v>63</v>
      </c>
      <c r="NA4" s="14">
        <v>44375</v>
      </c>
      <c r="NB4" s="13" t="s">
        <v>64</v>
      </c>
      <c r="NC4" s="14">
        <v>44376</v>
      </c>
      <c r="ND4" s="13" t="s">
        <v>65</v>
      </c>
      <c r="NE4" s="14">
        <v>44377</v>
      </c>
      <c r="NF4" s="13" t="s">
        <v>66</v>
      </c>
      <c r="NG4" s="14">
        <v>44378</v>
      </c>
      <c r="NH4" s="13" t="s">
        <v>67</v>
      </c>
      <c r="NI4" s="14">
        <v>44379</v>
      </c>
      <c r="NJ4" s="13" t="s">
        <v>61</v>
      </c>
      <c r="NK4" s="14">
        <v>44380</v>
      </c>
      <c r="NL4" s="13" t="s">
        <v>62</v>
      </c>
      <c r="NM4" s="14">
        <v>44381</v>
      </c>
      <c r="NN4" s="13" t="s">
        <v>63</v>
      </c>
      <c r="NO4" s="14">
        <v>44382</v>
      </c>
      <c r="NP4" s="13" t="s">
        <v>64</v>
      </c>
      <c r="NQ4" s="14">
        <v>44383</v>
      </c>
      <c r="NR4" s="13" t="s">
        <v>65</v>
      </c>
      <c r="NS4" s="14">
        <v>44384</v>
      </c>
      <c r="NT4" s="13" t="s">
        <v>66</v>
      </c>
      <c r="NU4" s="14">
        <v>44385</v>
      </c>
      <c r="NV4" s="13" t="s">
        <v>67</v>
      </c>
      <c r="NW4" s="14">
        <v>44386</v>
      </c>
      <c r="NX4" s="13" t="s">
        <v>61</v>
      </c>
      <c r="NY4" s="14">
        <v>44387</v>
      </c>
      <c r="NZ4" s="13" t="s">
        <v>62</v>
      </c>
      <c r="OA4" s="14">
        <v>44388</v>
      </c>
      <c r="OB4" s="13" t="s">
        <v>63</v>
      </c>
      <c r="OC4" s="14">
        <v>44389</v>
      </c>
      <c r="OD4" s="13" t="s">
        <v>64</v>
      </c>
      <c r="OE4" s="14">
        <v>44390</v>
      </c>
      <c r="OF4" s="13" t="s">
        <v>65</v>
      </c>
      <c r="OG4" s="14">
        <v>44391</v>
      </c>
      <c r="OH4" s="13" t="s">
        <v>66</v>
      </c>
      <c r="OI4" s="14">
        <v>44392</v>
      </c>
      <c r="OJ4" s="13" t="s">
        <v>67</v>
      </c>
      <c r="OK4" s="14">
        <v>44393</v>
      </c>
      <c r="OL4" s="13" t="s">
        <v>61</v>
      </c>
      <c r="OM4" s="14">
        <v>44394</v>
      </c>
      <c r="ON4" s="13" t="s">
        <v>62</v>
      </c>
      <c r="OO4" s="14">
        <v>44395</v>
      </c>
      <c r="OP4" s="13" t="s">
        <v>63</v>
      </c>
      <c r="OQ4" s="14">
        <v>44396</v>
      </c>
      <c r="OR4" s="13" t="s">
        <v>64</v>
      </c>
      <c r="OS4" s="14">
        <v>44397</v>
      </c>
      <c r="OT4" s="13" t="s">
        <v>65</v>
      </c>
      <c r="OU4" s="14">
        <v>44398</v>
      </c>
      <c r="OV4" s="13" t="s">
        <v>66</v>
      </c>
      <c r="OW4" s="14">
        <v>44399</v>
      </c>
      <c r="OX4" s="13" t="s">
        <v>67</v>
      </c>
      <c r="OY4" s="14">
        <v>44400</v>
      </c>
      <c r="OZ4" s="13" t="s">
        <v>61</v>
      </c>
      <c r="PA4" s="14">
        <v>44401</v>
      </c>
      <c r="PB4" s="13" t="s">
        <v>62</v>
      </c>
      <c r="PC4" s="14">
        <v>44402</v>
      </c>
      <c r="PD4" s="13" t="s">
        <v>63</v>
      </c>
      <c r="PE4" s="14">
        <v>44403</v>
      </c>
      <c r="PF4" s="13" t="s">
        <v>64</v>
      </c>
      <c r="PG4" s="14">
        <v>44404</v>
      </c>
      <c r="PH4" s="13" t="s">
        <v>65</v>
      </c>
      <c r="PI4" s="14">
        <v>44405</v>
      </c>
      <c r="PJ4" s="13" t="s">
        <v>66</v>
      </c>
      <c r="PK4" s="14">
        <v>44406</v>
      </c>
      <c r="PL4" s="13" t="s">
        <v>67</v>
      </c>
      <c r="PM4" s="14">
        <v>44407</v>
      </c>
      <c r="PN4" s="13" t="s">
        <v>61</v>
      </c>
      <c r="PO4" s="14">
        <v>44408</v>
      </c>
      <c r="PP4" s="13" t="s">
        <v>62</v>
      </c>
      <c r="PQ4" s="14">
        <v>44409</v>
      </c>
      <c r="PR4" s="13" t="s">
        <v>63</v>
      </c>
      <c r="PS4" s="14">
        <v>44410</v>
      </c>
      <c r="PT4" s="13" t="s">
        <v>64</v>
      </c>
      <c r="PU4" s="14">
        <v>44411</v>
      </c>
      <c r="PV4" s="13" t="s">
        <v>65</v>
      </c>
      <c r="PW4" s="14">
        <v>44412</v>
      </c>
      <c r="PX4" s="13" t="s">
        <v>66</v>
      </c>
      <c r="PY4" s="14">
        <v>44413</v>
      </c>
      <c r="PZ4" s="13" t="s">
        <v>67</v>
      </c>
      <c r="QA4" s="14">
        <v>44414</v>
      </c>
      <c r="QB4" s="13" t="s">
        <v>61</v>
      </c>
      <c r="QC4" s="14">
        <v>44415</v>
      </c>
      <c r="QD4" s="13" t="s">
        <v>62</v>
      </c>
      <c r="QE4" s="14">
        <v>44416</v>
      </c>
      <c r="QF4" s="13" t="s">
        <v>63</v>
      </c>
      <c r="QG4" s="14">
        <v>44417</v>
      </c>
      <c r="QH4" s="13" t="s">
        <v>64</v>
      </c>
      <c r="QI4" s="14">
        <v>44418</v>
      </c>
      <c r="QJ4" s="13" t="s">
        <v>65</v>
      </c>
      <c r="QK4" s="14">
        <v>44419</v>
      </c>
      <c r="QL4" s="13" t="s">
        <v>66</v>
      </c>
      <c r="QM4" s="14">
        <v>44420</v>
      </c>
      <c r="QN4" s="13" t="s">
        <v>67</v>
      </c>
      <c r="QO4" s="14">
        <v>44421</v>
      </c>
      <c r="QP4" s="13" t="s">
        <v>61</v>
      </c>
      <c r="QQ4" s="14">
        <v>44422</v>
      </c>
      <c r="QR4" s="13" t="s">
        <v>62</v>
      </c>
      <c r="QS4" s="14">
        <v>44423</v>
      </c>
      <c r="QT4" s="13" t="s">
        <v>63</v>
      </c>
      <c r="QU4" s="14">
        <v>44424</v>
      </c>
      <c r="QV4" s="13" t="s">
        <v>64</v>
      </c>
      <c r="QW4" s="14">
        <v>44425</v>
      </c>
      <c r="QX4" s="13" t="s">
        <v>65</v>
      </c>
      <c r="QY4" s="14">
        <v>44426</v>
      </c>
      <c r="QZ4" s="13" t="s">
        <v>66</v>
      </c>
      <c r="RA4" s="14">
        <v>44427</v>
      </c>
      <c r="RB4" s="13" t="s">
        <v>67</v>
      </c>
      <c r="RC4" s="14">
        <v>44428</v>
      </c>
      <c r="RD4" s="13" t="s">
        <v>61</v>
      </c>
      <c r="RE4" s="14">
        <v>44429</v>
      </c>
      <c r="RF4" s="13" t="s">
        <v>62</v>
      </c>
      <c r="RG4" s="14">
        <v>44430</v>
      </c>
      <c r="RH4" s="13" t="s">
        <v>63</v>
      </c>
      <c r="RI4" s="14">
        <v>44431</v>
      </c>
      <c r="RJ4" s="13" t="s">
        <v>64</v>
      </c>
      <c r="RK4" s="14">
        <v>44432</v>
      </c>
      <c r="RL4" s="13" t="s">
        <v>65</v>
      </c>
      <c r="RM4" s="14">
        <v>44433</v>
      </c>
      <c r="RN4" s="13" t="s">
        <v>66</v>
      </c>
      <c r="RO4" s="14">
        <v>44434</v>
      </c>
      <c r="RP4" s="13" t="s">
        <v>67</v>
      </c>
      <c r="RQ4" s="14">
        <v>44435</v>
      </c>
      <c r="RR4" s="13" t="s">
        <v>61</v>
      </c>
      <c r="RS4" s="14">
        <v>44436</v>
      </c>
      <c r="RT4" s="13" t="s">
        <v>62</v>
      </c>
      <c r="RU4" s="14">
        <v>44437</v>
      </c>
      <c r="RV4" s="13" t="s">
        <v>63</v>
      </c>
      <c r="RW4" s="14">
        <v>44438</v>
      </c>
      <c r="RX4" s="13" t="s">
        <v>64</v>
      </c>
      <c r="RY4" s="14">
        <v>44439</v>
      </c>
      <c r="RZ4" s="13" t="s">
        <v>65</v>
      </c>
      <c r="SA4" s="14">
        <v>44440</v>
      </c>
      <c r="SB4" s="13" t="s">
        <v>66</v>
      </c>
      <c r="SC4" s="14">
        <v>44441</v>
      </c>
      <c r="SD4" s="13" t="s">
        <v>67</v>
      </c>
      <c r="SE4" s="14">
        <v>44442</v>
      </c>
      <c r="SF4" s="13" t="s">
        <v>61</v>
      </c>
      <c r="SG4" s="14">
        <v>44443</v>
      </c>
      <c r="SH4" s="13" t="s">
        <v>62</v>
      </c>
      <c r="SI4" s="14">
        <v>44444</v>
      </c>
      <c r="SJ4" s="13" t="s">
        <v>63</v>
      </c>
      <c r="SK4" s="14">
        <v>44445</v>
      </c>
      <c r="SL4" s="13" t="s">
        <v>64</v>
      </c>
      <c r="SM4" s="14">
        <v>44446</v>
      </c>
      <c r="SN4" s="13" t="s">
        <v>65</v>
      </c>
      <c r="SO4" s="14">
        <v>44447</v>
      </c>
      <c r="SP4" s="13" t="s">
        <v>66</v>
      </c>
      <c r="SQ4" s="14">
        <v>44448</v>
      </c>
      <c r="SR4" s="13" t="s">
        <v>67</v>
      </c>
      <c r="SS4" s="14">
        <v>44449</v>
      </c>
      <c r="ST4" s="13" t="s">
        <v>61</v>
      </c>
      <c r="SU4" s="14">
        <v>44450</v>
      </c>
      <c r="SV4" s="13" t="s">
        <v>62</v>
      </c>
      <c r="SW4" s="14">
        <v>44451</v>
      </c>
      <c r="SX4" s="13" t="s">
        <v>63</v>
      </c>
      <c r="SY4" s="14">
        <v>44452</v>
      </c>
      <c r="SZ4" s="13" t="s">
        <v>64</v>
      </c>
      <c r="TA4" s="14">
        <v>44453</v>
      </c>
      <c r="TB4" s="13" t="s">
        <v>65</v>
      </c>
      <c r="TC4" s="14">
        <v>44454</v>
      </c>
      <c r="TD4" s="13" t="s">
        <v>66</v>
      </c>
      <c r="TE4" s="14">
        <v>44455</v>
      </c>
      <c r="TF4" s="13" t="s">
        <v>67</v>
      </c>
      <c r="TG4" s="14">
        <v>44456</v>
      </c>
      <c r="TH4" s="13" t="s">
        <v>61</v>
      </c>
      <c r="TI4" s="14">
        <v>44457</v>
      </c>
      <c r="TJ4" s="13" t="s">
        <v>62</v>
      </c>
      <c r="TK4" s="14">
        <v>44458</v>
      </c>
      <c r="TL4" s="13" t="s">
        <v>63</v>
      </c>
      <c r="TM4" s="14">
        <v>44459</v>
      </c>
      <c r="TN4" s="13" t="s">
        <v>64</v>
      </c>
      <c r="TO4" s="14">
        <v>44460</v>
      </c>
      <c r="TP4" s="13" t="s">
        <v>65</v>
      </c>
      <c r="TQ4" s="14">
        <v>44461</v>
      </c>
      <c r="TR4" s="13" t="s">
        <v>66</v>
      </c>
      <c r="TS4" s="14">
        <v>44462</v>
      </c>
      <c r="TT4" s="13" t="s">
        <v>67</v>
      </c>
      <c r="TU4" s="14">
        <v>44463</v>
      </c>
      <c r="TV4" s="13" t="s">
        <v>61</v>
      </c>
      <c r="TW4" s="14">
        <v>44464</v>
      </c>
      <c r="TX4" s="13" t="s">
        <v>62</v>
      </c>
      <c r="TY4" s="14">
        <v>44465</v>
      </c>
      <c r="TZ4" s="13" t="s">
        <v>63</v>
      </c>
      <c r="UA4" s="14">
        <v>44466</v>
      </c>
      <c r="UB4" s="13" t="s">
        <v>64</v>
      </c>
      <c r="UC4" s="14">
        <v>44467</v>
      </c>
      <c r="UD4" s="13" t="s">
        <v>65</v>
      </c>
      <c r="UE4" s="14">
        <v>44468</v>
      </c>
      <c r="UF4" s="13" t="s">
        <v>66</v>
      </c>
      <c r="UG4" s="14">
        <v>44469</v>
      </c>
      <c r="UH4" s="13" t="s">
        <v>67</v>
      </c>
      <c r="UI4" s="14">
        <v>44470</v>
      </c>
      <c r="UJ4" s="13" t="s">
        <v>61</v>
      </c>
      <c r="UK4" s="14">
        <v>44471</v>
      </c>
      <c r="UL4" s="13" t="s">
        <v>62</v>
      </c>
      <c r="UM4" s="14">
        <v>44472</v>
      </c>
      <c r="UN4" s="13" t="s">
        <v>63</v>
      </c>
      <c r="UO4" s="14">
        <v>44473</v>
      </c>
      <c r="UP4" s="13" t="s">
        <v>64</v>
      </c>
      <c r="UQ4" s="14">
        <v>44474</v>
      </c>
      <c r="UR4" s="13" t="s">
        <v>65</v>
      </c>
      <c r="US4" s="14">
        <v>44475</v>
      </c>
      <c r="UT4" s="13" t="s">
        <v>66</v>
      </c>
      <c r="UU4" s="14">
        <v>44476</v>
      </c>
      <c r="UV4" s="13" t="s">
        <v>67</v>
      </c>
      <c r="UW4" s="14">
        <v>44477</v>
      </c>
      <c r="UX4" s="13" t="s">
        <v>61</v>
      </c>
      <c r="UY4" s="14">
        <v>44478</v>
      </c>
      <c r="UZ4" s="13" t="s">
        <v>62</v>
      </c>
      <c r="VA4" s="14">
        <v>44479</v>
      </c>
      <c r="VB4" s="13" t="s">
        <v>63</v>
      </c>
      <c r="VC4" s="14">
        <v>44480</v>
      </c>
      <c r="VD4" s="13" t="s">
        <v>64</v>
      </c>
      <c r="VE4" s="14">
        <v>44481</v>
      </c>
      <c r="VF4" s="13" t="s">
        <v>65</v>
      </c>
      <c r="VG4" s="14">
        <v>44482</v>
      </c>
      <c r="VH4" s="13" t="s">
        <v>66</v>
      </c>
      <c r="VI4" s="14">
        <v>44483</v>
      </c>
      <c r="VJ4" s="13" t="s">
        <v>67</v>
      </c>
      <c r="VK4" s="14">
        <v>44484</v>
      </c>
      <c r="VL4" s="13" t="s">
        <v>61</v>
      </c>
      <c r="VM4" s="14">
        <v>44485</v>
      </c>
      <c r="VN4" s="13" t="s">
        <v>62</v>
      </c>
      <c r="VO4" s="14">
        <v>44486</v>
      </c>
      <c r="VP4" s="13" t="s">
        <v>63</v>
      </c>
      <c r="VQ4" s="14">
        <v>44487</v>
      </c>
      <c r="VR4" s="13" t="s">
        <v>64</v>
      </c>
      <c r="VS4" s="14">
        <v>44488</v>
      </c>
      <c r="VT4" s="13" t="s">
        <v>65</v>
      </c>
      <c r="VU4" s="14">
        <v>44489</v>
      </c>
      <c r="VV4" s="13" t="s">
        <v>66</v>
      </c>
      <c r="VW4" s="14">
        <v>44490</v>
      </c>
      <c r="VX4" s="13" t="s">
        <v>67</v>
      </c>
      <c r="VY4" s="14">
        <v>44491</v>
      </c>
      <c r="VZ4" s="13" t="s">
        <v>61</v>
      </c>
      <c r="WA4" s="14">
        <v>44492</v>
      </c>
      <c r="WB4" s="13" t="s">
        <v>62</v>
      </c>
      <c r="WC4" s="14">
        <v>44493</v>
      </c>
      <c r="WD4" s="13" t="s">
        <v>63</v>
      </c>
      <c r="WE4" s="14">
        <v>44494</v>
      </c>
      <c r="WF4" s="13" t="s">
        <v>64</v>
      </c>
      <c r="WG4" s="14">
        <v>44495</v>
      </c>
      <c r="WH4" s="13" t="s">
        <v>65</v>
      </c>
      <c r="WI4" s="14">
        <v>44496</v>
      </c>
      <c r="WJ4" s="13" t="s">
        <v>66</v>
      </c>
      <c r="WK4" s="14">
        <v>44497</v>
      </c>
      <c r="WL4" s="13" t="s">
        <v>67</v>
      </c>
      <c r="WM4" s="14">
        <v>44498</v>
      </c>
      <c r="WN4" s="13" t="s">
        <v>61</v>
      </c>
      <c r="WO4" s="14">
        <v>44499</v>
      </c>
      <c r="WP4" s="13" t="s">
        <v>62</v>
      </c>
      <c r="WQ4" s="14">
        <v>44500</v>
      </c>
      <c r="WR4" s="13" t="s">
        <v>63</v>
      </c>
      <c r="WS4" s="14">
        <v>44501</v>
      </c>
      <c r="WT4" s="13" t="s">
        <v>64</v>
      </c>
      <c r="WU4" s="14">
        <v>44502</v>
      </c>
      <c r="WV4" s="13" t="s">
        <v>65</v>
      </c>
      <c r="WW4" s="14">
        <v>44503</v>
      </c>
      <c r="WX4" s="13" t="s">
        <v>66</v>
      </c>
      <c r="WY4" s="14">
        <v>44504</v>
      </c>
      <c r="WZ4" s="13" t="s">
        <v>67</v>
      </c>
      <c r="XA4" s="14">
        <v>44505</v>
      </c>
      <c r="XB4" s="13" t="s">
        <v>61</v>
      </c>
      <c r="XC4" s="14">
        <v>44506</v>
      </c>
      <c r="XD4" s="13" t="s">
        <v>62</v>
      </c>
      <c r="XE4" s="14">
        <v>44507</v>
      </c>
      <c r="XF4" s="13" t="s">
        <v>63</v>
      </c>
      <c r="XG4" s="14">
        <v>44508</v>
      </c>
      <c r="XH4" s="13" t="s">
        <v>64</v>
      </c>
      <c r="XI4" s="14">
        <v>44509</v>
      </c>
      <c r="XJ4" s="13" t="s">
        <v>65</v>
      </c>
      <c r="XK4" s="14">
        <v>44510</v>
      </c>
      <c r="XL4" s="13" t="s">
        <v>66</v>
      </c>
      <c r="XM4" s="14">
        <v>44511</v>
      </c>
      <c r="XN4" s="13" t="s">
        <v>67</v>
      </c>
      <c r="XO4" s="14">
        <v>44512</v>
      </c>
      <c r="XP4" s="13" t="s">
        <v>61</v>
      </c>
      <c r="XQ4" s="14">
        <v>44513</v>
      </c>
      <c r="XR4" s="13" t="s">
        <v>62</v>
      </c>
      <c r="XS4" s="14">
        <v>44514</v>
      </c>
      <c r="XT4" s="13" t="s">
        <v>63</v>
      </c>
      <c r="XU4" s="14">
        <v>44515</v>
      </c>
      <c r="XV4" s="13" t="s">
        <v>64</v>
      </c>
      <c r="XW4" s="14">
        <v>44516</v>
      </c>
      <c r="XX4" s="13" t="s">
        <v>65</v>
      </c>
      <c r="XY4" s="14">
        <v>44517</v>
      </c>
      <c r="XZ4" s="13" t="s">
        <v>66</v>
      </c>
      <c r="YA4" s="14">
        <v>44518</v>
      </c>
      <c r="YB4" s="13" t="s">
        <v>67</v>
      </c>
      <c r="YC4" s="14">
        <v>44519</v>
      </c>
      <c r="YD4" s="13" t="s">
        <v>61</v>
      </c>
      <c r="YE4" s="14">
        <v>44520</v>
      </c>
      <c r="YF4" s="13" t="s">
        <v>62</v>
      </c>
      <c r="YG4" s="14">
        <v>44521</v>
      </c>
      <c r="YH4" s="13" t="s">
        <v>63</v>
      </c>
      <c r="YI4" s="14">
        <v>44522</v>
      </c>
      <c r="YJ4" s="13" t="s">
        <v>64</v>
      </c>
      <c r="YK4" s="14">
        <v>44523</v>
      </c>
      <c r="YL4" s="13" t="s">
        <v>65</v>
      </c>
      <c r="YM4" s="14">
        <v>44524</v>
      </c>
      <c r="YN4" s="13" t="s">
        <v>66</v>
      </c>
      <c r="YO4" s="14">
        <v>44525</v>
      </c>
      <c r="YP4" s="13" t="s">
        <v>67</v>
      </c>
      <c r="YQ4" s="14">
        <v>44526</v>
      </c>
      <c r="YR4" s="13" t="s">
        <v>61</v>
      </c>
      <c r="YS4" s="14">
        <v>44527</v>
      </c>
      <c r="YT4" s="13" t="s">
        <v>62</v>
      </c>
      <c r="YU4" s="14">
        <v>44528</v>
      </c>
      <c r="YV4" s="13" t="s">
        <v>63</v>
      </c>
      <c r="YW4" s="14">
        <v>44529</v>
      </c>
      <c r="YX4" s="13" t="s">
        <v>64</v>
      </c>
      <c r="YY4" s="14">
        <v>44530</v>
      </c>
      <c r="YZ4" s="13" t="s">
        <v>65</v>
      </c>
      <c r="ZA4" s="14">
        <v>44531</v>
      </c>
      <c r="ZB4" s="13" t="s">
        <v>66</v>
      </c>
      <c r="ZC4" s="14">
        <v>44532</v>
      </c>
      <c r="ZD4" s="13" t="s">
        <v>67</v>
      </c>
      <c r="ZE4" s="14">
        <v>44533</v>
      </c>
      <c r="ZF4" s="13" t="s">
        <v>61</v>
      </c>
      <c r="ZG4" s="14">
        <v>44534</v>
      </c>
      <c r="ZH4" s="13" t="s">
        <v>62</v>
      </c>
      <c r="ZI4" s="14">
        <v>44535</v>
      </c>
      <c r="ZJ4" s="13" t="s">
        <v>63</v>
      </c>
      <c r="ZK4" s="14">
        <v>44536</v>
      </c>
      <c r="ZL4" s="13" t="s">
        <v>64</v>
      </c>
      <c r="ZM4" s="14">
        <v>44537</v>
      </c>
      <c r="ZN4" s="13" t="s">
        <v>65</v>
      </c>
      <c r="ZO4" s="14">
        <v>44538</v>
      </c>
      <c r="ZP4" s="13" t="s">
        <v>66</v>
      </c>
      <c r="ZQ4" s="14">
        <v>44539</v>
      </c>
      <c r="ZR4" s="13" t="s">
        <v>67</v>
      </c>
      <c r="ZS4" s="14">
        <v>44540</v>
      </c>
      <c r="ZT4" s="13" t="s">
        <v>61</v>
      </c>
      <c r="ZU4" s="14">
        <v>44541</v>
      </c>
      <c r="ZV4" s="13" t="s">
        <v>62</v>
      </c>
      <c r="ZW4" s="14">
        <v>44542</v>
      </c>
      <c r="ZX4" s="13" t="s">
        <v>63</v>
      </c>
      <c r="ZY4" s="14">
        <v>44543</v>
      </c>
      <c r="ZZ4" s="13" t="s">
        <v>64</v>
      </c>
      <c r="AAA4" s="14">
        <v>44544</v>
      </c>
      <c r="AAB4" s="13" t="s">
        <v>65</v>
      </c>
      <c r="AAC4" s="14">
        <v>44545</v>
      </c>
      <c r="AAD4" s="13" t="s">
        <v>66</v>
      </c>
      <c r="AAE4" s="14">
        <v>44546</v>
      </c>
      <c r="AAF4" s="13" t="s">
        <v>67</v>
      </c>
      <c r="AAG4" s="14">
        <v>44547</v>
      </c>
      <c r="AAH4" s="13" t="s">
        <v>61</v>
      </c>
      <c r="AAI4" s="14">
        <v>44548</v>
      </c>
      <c r="AAJ4" s="13" t="s">
        <v>62</v>
      </c>
      <c r="AAK4" s="14">
        <v>44549</v>
      </c>
      <c r="AAL4" s="13" t="s">
        <v>63</v>
      </c>
      <c r="AAM4" s="14">
        <v>44550</v>
      </c>
      <c r="AAN4" s="13" t="s">
        <v>64</v>
      </c>
      <c r="AAO4" s="14">
        <v>44551</v>
      </c>
      <c r="AAP4" s="13" t="s">
        <v>65</v>
      </c>
      <c r="AAQ4" s="14">
        <v>44552</v>
      </c>
      <c r="AAR4" s="13" t="s">
        <v>66</v>
      </c>
      <c r="AAS4" s="14">
        <v>44553</v>
      </c>
      <c r="AAT4" s="13" t="s">
        <v>67</v>
      </c>
      <c r="AAU4" s="14">
        <v>44554</v>
      </c>
      <c r="AAV4" s="13" t="s">
        <v>61</v>
      </c>
      <c r="AAW4" s="14">
        <v>44555</v>
      </c>
      <c r="AAX4" s="13" t="s">
        <v>62</v>
      </c>
      <c r="AAY4" s="14">
        <v>44556</v>
      </c>
      <c r="AAZ4" s="13" t="s">
        <v>63</v>
      </c>
      <c r="ABA4" s="14">
        <v>44557</v>
      </c>
      <c r="ABB4" s="13" t="s">
        <v>64</v>
      </c>
      <c r="ABC4" s="14">
        <v>44558</v>
      </c>
      <c r="ABD4" s="13" t="s">
        <v>65</v>
      </c>
      <c r="ABE4" s="14">
        <v>44559</v>
      </c>
      <c r="ABF4" s="13" t="s">
        <v>66</v>
      </c>
      <c r="ABG4" s="14">
        <v>44560</v>
      </c>
      <c r="ABH4" s="13" t="s">
        <v>67</v>
      </c>
      <c r="ABI4" s="14">
        <v>44561</v>
      </c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</row>
    <row r="5" spans="1:752" x14ac:dyDescent="0.3">
      <c r="A5" s="35"/>
      <c r="B5" s="36"/>
      <c r="C5" s="36"/>
      <c r="D5" s="37"/>
      <c r="E5" s="10"/>
      <c r="F5" s="47"/>
      <c r="G5" s="48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</row>
    <row r="6" spans="1:752" x14ac:dyDescent="0.3">
      <c r="A6" s="35"/>
      <c r="B6" s="36"/>
      <c r="C6" s="36"/>
      <c r="D6" s="37"/>
      <c r="E6" s="10"/>
      <c r="F6" s="47"/>
      <c r="G6" s="48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</row>
    <row r="7" spans="1:752" x14ac:dyDescent="0.3">
      <c r="A7" s="35"/>
      <c r="B7" s="36"/>
      <c r="C7" s="36"/>
      <c r="D7" s="37"/>
      <c r="E7" s="10"/>
      <c r="F7" s="47"/>
      <c r="G7" s="48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</row>
    <row r="8" spans="1:752" x14ac:dyDescent="0.3">
      <c r="A8" s="35"/>
      <c r="B8" s="36"/>
      <c r="C8" s="36"/>
      <c r="D8" s="37"/>
      <c r="E8" s="10"/>
      <c r="F8" s="47"/>
      <c r="G8" s="4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</row>
    <row r="9" spans="1:752" x14ac:dyDescent="0.3">
      <c r="A9" s="35"/>
      <c r="B9" s="36"/>
      <c r="C9" s="36"/>
      <c r="D9" s="37"/>
      <c r="E9" s="10"/>
      <c r="F9" s="47"/>
      <c r="G9" s="4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</row>
    <row r="10" spans="1:752" x14ac:dyDescent="0.3">
      <c r="A10" s="35"/>
      <c r="B10" s="36"/>
      <c r="C10" s="36"/>
      <c r="D10" s="37"/>
      <c r="E10" s="10"/>
      <c r="F10" s="47"/>
      <c r="G10" s="48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</row>
  </sheetData>
  <mergeCells count="16">
    <mergeCell ref="F10:G10"/>
    <mergeCell ref="F9:G9"/>
    <mergeCell ref="F8:G8"/>
    <mergeCell ref="F7:G7"/>
    <mergeCell ref="F6:G6"/>
    <mergeCell ref="A5:D5"/>
    <mergeCell ref="A1:A3"/>
    <mergeCell ref="B1:B3"/>
    <mergeCell ref="A4:D4"/>
    <mergeCell ref="E4:G4"/>
    <mergeCell ref="F5:G5"/>
    <mergeCell ref="A10:D10"/>
    <mergeCell ref="A9:D9"/>
    <mergeCell ref="A8:D8"/>
    <mergeCell ref="A7:D7"/>
    <mergeCell ref="A6:D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FBDF2-A2C5-4A0B-B169-24337F7FF7B9}">
  <sheetPr codeName="Sheet3">
    <tabColor rgb="FF00B050"/>
  </sheetPr>
  <dimension ref="A1:ABX10"/>
  <sheetViews>
    <sheetView workbookViewId="0">
      <pane xSplit="7" ySplit="4" topLeftCell="ON5" activePane="bottomRight" state="frozen"/>
      <selection pane="topRight" activeCell="H1" sqref="H1"/>
      <selection pane="bottomLeft" activeCell="A5" sqref="A5"/>
      <selection pane="bottomRight" activeCell="OS4" sqref="OS4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11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4" customFormat="1" x14ac:dyDescent="0.3">
      <c r="A1" s="39" t="s">
        <v>57</v>
      </c>
      <c r="B1" s="41" t="s">
        <v>59</v>
      </c>
      <c r="E1" s="8"/>
      <c r="F1" s="8"/>
      <c r="G1" s="8"/>
    </row>
    <row r="2" spans="1:752" s="5" customFormat="1" x14ac:dyDescent="0.3">
      <c r="A2" s="40"/>
      <c r="B2" s="42"/>
      <c r="E2" s="9"/>
      <c r="F2" s="9"/>
      <c r="G2" s="9"/>
    </row>
    <row r="3" spans="1:752" s="12" customFormat="1" ht="17.25" thickBot="1" x14ac:dyDescent="0.35">
      <c r="A3" s="40"/>
      <c r="B3" s="42"/>
      <c r="C3" s="5"/>
      <c r="D3" s="5"/>
      <c r="E3" s="9"/>
      <c r="F3" s="9"/>
      <c r="G3" s="9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</row>
    <row r="4" spans="1:752" x14ac:dyDescent="0.3">
      <c r="A4" s="43" t="s">
        <v>69</v>
      </c>
      <c r="B4" s="44"/>
      <c r="C4" s="44"/>
      <c r="D4" s="44"/>
      <c r="E4" s="45" t="s">
        <v>70</v>
      </c>
      <c r="F4" s="46"/>
      <c r="G4" s="46"/>
      <c r="H4" s="13" t="s">
        <v>67</v>
      </c>
      <c r="I4" s="14">
        <v>44197</v>
      </c>
      <c r="J4" s="13" t="s">
        <v>61</v>
      </c>
      <c r="K4" s="14">
        <v>44198</v>
      </c>
      <c r="L4" s="13" t="s">
        <v>62</v>
      </c>
      <c r="M4" s="14">
        <v>44199</v>
      </c>
      <c r="N4" s="13" t="s">
        <v>63</v>
      </c>
      <c r="O4" s="14">
        <v>44200</v>
      </c>
      <c r="P4" s="13" t="s">
        <v>64</v>
      </c>
      <c r="Q4" s="14">
        <v>44201</v>
      </c>
      <c r="R4" s="13" t="s">
        <v>65</v>
      </c>
      <c r="S4" s="14">
        <v>44202</v>
      </c>
      <c r="T4" s="13" t="s">
        <v>66</v>
      </c>
      <c r="U4" s="14">
        <v>44203</v>
      </c>
      <c r="V4" s="13" t="s">
        <v>67</v>
      </c>
      <c r="W4" s="14">
        <v>44204</v>
      </c>
      <c r="X4" s="13" t="s">
        <v>61</v>
      </c>
      <c r="Y4" s="14">
        <v>44205</v>
      </c>
      <c r="Z4" s="13" t="s">
        <v>62</v>
      </c>
      <c r="AA4" s="14">
        <v>44206</v>
      </c>
      <c r="AB4" s="13" t="s">
        <v>63</v>
      </c>
      <c r="AC4" s="14">
        <v>44207</v>
      </c>
      <c r="AD4" s="13" t="s">
        <v>64</v>
      </c>
      <c r="AE4" s="14">
        <v>44208</v>
      </c>
      <c r="AF4" s="13" t="s">
        <v>65</v>
      </c>
      <c r="AG4" s="14">
        <v>44209</v>
      </c>
      <c r="AH4" s="13" t="s">
        <v>66</v>
      </c>
      <c r="AI4" s="14">
        <v>44210</v>
      </c>
      <c r="AJ4" s="13" t="s">
        <v>67</v>
      </c>
      <c r="AK4" s="14">
        <v>44211</v>
      </c>
      <c r="AL4" s="13" t="s">
        <v>61</v>
      </c>
      <c r="AM4" s="14">
        <v>44212</v>
      </c>
      <c r="AN4" s="13" t="s">
        <v>62</v>
      </c>
      <c r="AO4" s="14">
        <v>44213</v>
      </c>
      <c r="AP4" s="13" t="s">
        <v>63</v>
      </c>
      <c r="AQ4" s="14">
        <v>44214</v>
      </c>
      <c r="AR4" s="13" t="s">
        <v>64</v>
      </c>
      <c r="AS4" s="14">
        <v>44215</v>
      </c>
      <c r="AT4" s="13" t="s">
        <v>65</v>
      </c>
      <c r="AU4" s="14">
        <v>44216</v>
      </c>
      <c r="AV4" s="13" t="s">
        <v>66</v>
      </c>
      <c r="AW4" s="14">
        <v>44217</v>
      </c>
      <c r="AX4" s="13" t="s">
        <v>67</v>
      </c>
      <c r="AY4" s="14">
        <v>44218</v>
      </c>
      <c r="AZ4" s="13" t="s">
        <v>61</v>
      </c>
      <c r="BA4" s="14">
        <v>44219</v>
      </c>
      <c r="BB4" s="13" t="s">
        <v>62</v>
      </c>
      <c r="BC4" s="14">
        <v>44220</v>
      </c>
      <c r="BD4" s="13" t="s">
        <v>63</v>
      </c>
      <c r="BE4" s="14">
        <v>44221</v>
      </c>
      <c r="BF4" s="13" t="s">
        <v>64</v>
      </c>
      <c r="BG4" s="14">
        <v>44222</v>
      </c>
      <c r="BH4" s="13" t="s">
        <v>65</v>
      </c>
      <c r="BI4" s="14">
        <v>44223</v>
      </c>
      <c r="BJ4" s="13" t="s">
        <v>66</v>
      </c>
      <c r="BK4" s="14">
        <v>44224</v>
      </c>
      <c r="BL4" s="13" t="s">
        <v>67</v>
      </c>
      <c r="BM4" s="14">
        <v>44225</v>
      </c>
      <c r="BN4" s="13" t="s">
        <v>61</v>
      </c>
      <c r="BO4" s="14">
        <v>44226</v>
      </c>
      <c r="BP4" s="13" t="s">
        <v>62</v>
      </c>
      <c r="BQ4" s="14">
        <v>44227</v>
      </c>
      <c r="BR4" s="13" t="s">
        <v>63</v>
      </c>
      <c r="BS4" s="14">
        <v>44228</v>
      </c>
      <c r="BT4" s="13" t="s">
        <v>64</v>
      </c>
      <c r="BU4" s="14">
        <v>44229</v>
      </c>
      <c r="BV4" s="13" t="s">
        <v>65</v>
      </c>
      <c r="BW4" s="14">
        <v>44230</v>
      </c>
      <c r="BX4" s="13" t="s">
        <v>66</v>
      </c>
      <c r="BY4" s="14">
        <v>44231</v>
      </c>
      <c r="BZ4" s="13" t="s">
        <v>67</v>
      </c>
      <c r="CA4" s="14">
        <v>44232</v>
      </c>
      <c r="CB4" s="13" t="s">
        <v>61</v>
      </c>
      <c r="CC4" s="14">
        <v>44233</v>
      </c>
      <c r="CD4" s="13" t="s">
        <v>62</v>
      </c>
      <c r="CE4" s="14">
        <v>44234</v>
      </c>
      <c r="CF4" s="13" t="s">
        <v>63</v>
      </c>
      <c r="CG4" s="14">
        <v>44235</v>
      </c>
      <c r="CH4" s="13" t="s">
        <v>64</v>
      </c>
      <c r="CI4" s="14">
        <v>44236</v>
      </c>
      <c r="CJ4" s="13" t="s">
        <v>65</v>
      </c>
      <c r="CK4" s="14">
        <v>44237</v>
      </c>
      <c r="CL4" s="13" t="s">
        <v>66</v>
      </c>
      <c r="CM4" s="14">
        <v>44238</v>
      </c>
      <c r="CN4" s="13" t="s">
        <v>67</v>
      </c>
      <c r="CO4" s="14">
        <v>44239</v>
      </c>
      <c r="CP4" s="13" t="s">
        <v>61</v>
      </c>
      <c r="CQ4" s="14">
        <v>44240</v>
      </c>
      <c r="CR4" s="13" t="s">
        <v>62</v>
      </c>
      <c r="CS4" s="14">
        <v>44241</v>
      </c>
      <c r="CT4" s="13" t="s">
        <v>63</v>
      </c>
      <c r="CU4" s="14">
        <v>44242</v>
      </c>
      <c r="CV4" s="13" t="s">
        <v>64</v>
      </c>
      <c r="CW4" s="14">
        <v>44243</v>
      </c>
      <c r="CX4" s="13" t="s">
        <v>65</v>
      </c>
      <c r="CY4" s="14">
        <v>44244</v>
      </c>
      <c r="CZ4" s="13" t="s">
        <v>66</v>
      </c>
      <c r="DA4" s="14">
        <v>44245</v>
      </c>
      <c r="DB4" s="13" t="s">
        <v>67</v>
      </c>
      <c r="DC4" s="14">
        <v>44246</v>
      </c>
      <c r="DD4" s="13" t="s">
        <v>61</v>
      </c>
      <c r="DE4" s="14">
        <v>44247</v>
      </c>
      <c r="DF4" s="13" t="s">
        <v>62</v>
      </c>
      <c r="DG4" s="14">
        <v>44248</v>
      </c>
      <c r="DH4" s="13" t="s">
        <v>63</v>
      </c>
      <c r="DI4" s="14">
        <v>44249</v>
      </c>
      <c r="DJ4" s="13" t="s">
        <v>64</v>
      </c>
      <c r="DK4" s="14">
        <v>44250</v>
      </c>
      <c r="DL4" s="13" t="s">
        <v>65</v>
      </c>
      <c r="DM4" s="14">
        <v>44251</v>
      </c>
      <c r="DN4" s="13" t="s">
        <v>66</v>
      </c>
      <c r="DO4" s="14">
        <v>44252</v>
      </c>
      <c r="DP4" s="13" t="s">
        <v>67</v>
      </c>
      <c r="DQ4" s="14">
        <v>44253</v>
      </c>
      <c r="DR4" s="13" t="s">
        <v>61</v>
      </c>
      <c r="DS4" s="14">
        <v>44254</v>
      </c>
      <c r="DT4" s="13" t="s">
        <v>62</v>
      </c>
      <c r="DU4" s="14">
        <v>44255</v>
      </c>
      <c r="DV4" s="13" t="s">
        <v>63</v>
      </c>
      <c r="DW4" s="14">
        <v>44256</v>
      </c>
      <c r="DX4" s="13" t="s">
        <v>64</v>
      </c>
      <c r="DY4" s="14">
        <v>44257</v>
      </c>
      <c r="DZ4" s="13" t="s">
        <v>65</v>
      </c>
      <c r="EA4" s="14">
        <v>44258</v>
      </c>
      <c r="EB4" s="13" t="s">
        <v>66</v>
      </c>
      <c r="EC4" s="14">
        <v>44259</v>
      </c>
      <c r="ED4" s="13" t="s">
        <v>67</v>
      </c>
      <c r="EE4" s="14">
        <v>44260</v>
      </c>
      <c r="EF4" s="13" t="s">
        <v>61</v>
      </c>
      <c r="EG4" s="14">
        <v>44261</v>
      </c>
      <c r="EH4" s="13" t="s">
        <v>62</v>
      </c>
      <c r="EI4" s="14">
        <v>44262</v>
      </c>
      <c r="EJ4" s="13" t="s">
        <v>63</v>
      </c>
      <c r="EK4" s="14">
        <v>44263</v>
      </c>
      <c r="EL4" s="13" t="s">
        <v>64</v>
      </c>
      <c r="EM4" s="14">
        <v>44264</v>
      </c>
      <c r="EN4" s="13" t="s">
        <v>65</v>
      </c>
      <c r="EO4" s="14">
        <v>44265</v>
      </c>
      <c r="EP4" s="13" t="s">
        <v>66</v>
      </c>
      <c r="EQ4" s="14">
        <v>44266</v>
      </c>
      <c r="ER4" s="13" t="s">
        <v>67</v>
      </c>
      <c r="ES4" s="14">
        <v>44267</v>
      </c>
      <c r="ET4" s="13" t="s">
        <v>61</v>
      </c>
      <c r="EU4" s="14">
        <v>44268</v>
      </c>
      <c r="EV4" s="13" t="s">
        <v>62</v>
      </c>
      <c r="EW4" s="14">
        <v>44269</v>
      </c>
      <c r="EX4" s="13" t="s">
        <v>63</v>
      </c>
      <c r="EY4" s="14">
        <v>44270</v>
      </c>
      <c r="EZ4" s="13" t="s">
        <v>64</v>
      </c>
      <c r="FA4" s="14">
        <v>44271</v>
      </c>
      <c r="FB4" s="13" t="s">
        <v>65</v>
      </c>
      <c r="FC4" s="14">
        <v>44272</v>
      </c>
      <c r="FD4" s="13" t="s">
        <v>66</v>
      </c>
      <c r="FE4" s="14">
        <v>44273</v>
      </c>
      <c r="FF4" s="13" t="s">
        <v>67</v>
      </c>
      <c r="FG4" s="14">
        <v>44274</v>
      </c>
      <c r="FH4" s="13" t="s">
        <v>61</v>
      </c>
      <c r="FI4" s="14">
        <v>44275</v>
      </c>
      <c r="FJ4" s="13" t="s">
        <v>62</v>
      </c>
      <c r="FK4" s="14">
        <v>44276</v>
      </c>
      <c r="FL4" s="13" t="s">
        <v>63</v>
      </c>
      <c r="FM4" s="14">
        <v>44277</v>
      </c>
      <c r="FN4" s="13" t="s">
        <v>64</v>
      </c>
      <c r="FO4" s="14">
        <v>44278</v>
      </c>
      <c r="FP4" s="13" t="s">
        <v>65</v>
      </c>
      <c r="FQ4" s="14">
        <v>44279</v>
      </c>
      <c r="FR4" s="13" t="s">
        <v>66</v>
      </c>
      <c r="FS4" s="14">
        <v>44280</v>
      </c>
      <c r="FT4" s="13" t="s">
        <v>67</v>
      </c>
      <c r="FU4" s="14">
        <v>44281</v>
      </c>
      <c r="FV4" s="13" t="s">
        <v>61</v>
      </c>
      <c r="FW4" s="14">
        <v>44282</v>
      </c>
      <c r="FX4" s="13" t="s">
        <v>62</v>
      </c>
      <c r="FY4" s="14">
        <v>44283</v>
      </c>
      <c r="FZ4" s="13" t="s">
        <v>63</v>
      </c>
      <c r="GA4" s="14">
        <v>44284</v>
      </c>
      <c r="GB4" s="13" t="s">
        <v>64</v>
      </c>
      <c r="GC4" s="14">
        <v>44285</v>
      </c>
      <c r="GD4" s="13" t="s">
        <v>65</v>
      </c>
      <c r="GE4" s="14">
        <v>44286</v>
      </c>
      <c r="GF4" s="13" t="s">
        <v>66</v>
      </c>
      <c r="GG4" s="14">
        <v>44287</v>
      </c>
      <c r="GH4" s="13" t="s">
        <v>67</v>
      </c>
      <c r="GI4" s="14">
        <v>44288</v>
      </c>
      <c r="GJ4" s="13" t="s">
        <v>61</v>
      </c>
      <c r="GK4" s="14">
        <v>44289</v>
      </c>
      <c r="GL4" s="13" t="s">
        <v>62</v>
      </c>
      <c r="GM4" s="14">
        <v>44290</v>
      </c>
      <c r="GN4" s="13" t="s">
        <v>63</v>
      </c>
      <c r="GO4" s="14">
        <v>44291</v>
      </c>
      <c r="GP4" s="13" t="s">
        <v>64</v>
      </c>
      <c r="GQ4" s="14">
        <v>44292</v>
      </c>
      <c r="GR4" s="13" t="s">
        <v>65</v>
      </c>
      <c r="GS4" s="14">
        <v>44293</v>
      </c>
      <c r="GT4" s="13" t="s">
        <v>66</v>
      </c>
      <c r="GU4" s="14">
        <v>44294</v>
      </c>
      <c r="GV4" s="13" t="s">
        <v>67</v>
      </c>
      <c r="GW4" s="14">
        <v>44295</v>
      </c>
      <c r="GX4" s="13" t="s">
        <v>61</v>
      </c>
      <c r="GY4" s="14">
        <v>44296</v>
      </c>
      <c r="GZ4" s="13" t="s">
        <v>62</v>
      </c>
      <c r="HA4" s="14">
        <v>44297</v>
      </c>
      <c r="HB4" s="13" t="s">
        <v>63</v>
      </c>
      <c r="HC4" s="14">
        <v>44298</v>
      </c>
      <c r="HD4" s="13" t="s">
        <v>64</v>
      </c>
      <c r="HE4" s="14">
        <v>44299</v>
      </c>
      <c r="HF4" s="13" t="s">
        <v>65</v>
      </c>
      <c r="HG4" s="14">
        <v>44300</v>
      </c>
      <c r="HH4" s="13" t="s">
        <v>66</v>
      </c>
      <c r="HI4" s="14">
        <v>44301</v>
      </c>
      <c r="HJ4" s="13" t="s">
        <v>67</v>
      </c>
      <c r="HK4" s="14">
        <v>44302</v>
      </c>
      <c r="HL4" s="13" t="s">
        <v>61</v>
      </c>
      <c r="HM4" s="14">
        <v>44303</v>
      </c>
      <c r="HN4" s="13" t="s">
        <v>62</v>
      </c>
      <c r="HO4" s="14">
        <v>44304</v>
      </c>
      <c r="HP4" s="13" t="s">
        <v>63</v>
      </c>
      <c r="HQ4" s="14">
        <v>44305</v>
      </c>
      <c r="HR4" s="13" t="s">
        <v>64</v>
      </c>
      <c r="HS4" s="14">
        <v>44306</v>
      </c>
      <c r="HT4" s="13" t="s">
        <v>65</v>
      </c>
      <c r="HU4" s="14">
        <v>44307</v>
      </c>
      <c r="HV4" s="13" t="s">
        <v>66</v>
      </c>
      <c r="HW4" s="14">
        <v>44308</v>
      </c>
      <c r="HX4" s="13" t="s">
        <v>67</v>
      </c>
      <c r="HY4" s="14">
        <v>44309</v>
      </c>
      <c r="HZ4" s="13" t="s">
        <v>61</v>
      </c>
      <c r="IA4" s="14">
        <v>44310</v>
      </c>
      <c r="IB4" s="13" t="s">
        <v>62</v>
      </c>
      <c r="IC4" s="14">
        <v>44311</v>
      </c>
      <c r="ID4" s="13" t="s">
        <v>63</v>
      </c>
      <c r="IE4" s="14">
        <v>44312</v>
      </c>
      <c r="IF4" s="13" t="s">
        <v>64</v>
      </c>
      <c r="IG4" s="14">
        <v>44313</v>
      </c>
      <c r="IH4" s="13" t="s">
        <v>65</v>
      </c>
      <c r="II4" s="14">
        <v>44314</v>
      </c>
      <c r="IJ4" s="13" t="s">
        <v>66</v>
      </c>
      <c r="IK4" s="14">
        <v>44315</v>
      </c>
      <c r="IL4" s="13" t="s">
        <v>67</v>
      </c>
      <c r="IM4" s="14">
        <v>44316</v>
      </c>
      <c r="IN4" s="13" t="s">
        <v>61</v>
      </c>
      <c r="IO4" s="14">
        <v>44317</v>
      </c>
      <c r="IP4" s="13" t="s">
        <v>62</v>
      </c>
      <c r="IQ4" s="14">
        <v>44318</v>
      </c>
      <c r="IR4" s="13" t="s">
        <v>63</v>
      </c>
      <c r="IS4" s="14">
        <v>44319</v>
      </c>
      <c r="IT4" s="13" t="s">
        <v>64</v>
      </c>
      <c r="IU4" s="14">
        <v>44320</v>
      </c>
      <c r="IV4" s="13" t="s">
        <v>65</v>
      </c>
      <c r="IW4" s="14">
        <v>44321</v>
      </c>
      <c r="IX4" s="13" t="s">
        <v>66</v>
      </c>
      <c r="IY4" s="14">
        <v>44322</v>
      </c>
      <c r="IZ4" s="13" t="s">
        <v>67</v>
      </c>
      <c r="JA4" s="14">
        <v>44323</v>
      </c>
      <c r="JB4" s="13" t="s">
        <v>61</v>
      </c>
      <c r="JC4" s="14">
        <v>44324</v>
      </c>
      <c r="JD4" s="13" t="s">
        <v>62</v>
      </c>
      <c r="JE4" s="14">
        <v>44325</v>
      </c>
      <c r="JF4" s="13" t="s">
        <v>63</v>
      </c>
      <c r="JG4" s="14">
        <v>44326</v>
      </c>
      <c r="JH4" s="13" t="s">
        <v>64</v>
      </c>
      <c r="JI4" s="14">
        <v>44327</v>
      </c>
      <c r="JJ4" s="13" t="s">
        <v>65</v>
      </c>
      <c r="JK4" s="14">
        <v>44328</v>
      </c>
      <c r="JL4" s="13" t="s">
        <v>66</v>
      </c>
      <c r="JM4" s="14">
        <v>44329</v>
      </c>
      <c r="JN4" s="13" t="s">
        <v>67</v>
      </c>
      <c r="JO4" s="14">
        <v>44330</v>
      </c>
      <c r="JP4" s="13" t="s">
        <v>61</v>
      </c>
      <c r="JQ4" s="14">
        <v>44331</v>
      </c>
      <c r="JR4" s="13" t="s">
        <v>62</v>
      </c>
      <c r="JS4" s="14">
        <v>44332</v>
      </c>
      <c r="JT4" s="13" t="s">
        <v>63</v>
      </c>
      <c r="JU4" s="14">
        <v>44333</v>
      </c>
      <c r="JV4" s="13" t="s">
        <v>64</v>
      </c>
      <c r="JW4" s="14">
        <v>44334</v>
      </c>
      <c r="JX4" s="13" t="s">
        <v>65</v>
      </c>
      <c r="JY4" s="14">
        <v>44335</v>
      </c>
      <c r="JZ4" s="13" t="s">
        <v>66</v>
      </c>
      <c r="KA4" s="14">
        <v>44336</v>
      </c>
      <c r="KB4" s="13" t="s">
        <v>67</v>
      </c>
      <c r="KC4" s="14">
        <v>44337</v>
      </c>
      <c r="KD4" s="13" t="s">
        <v>61</v>
      </c>
      <c r="KE4" s="14">
        <v>44338</v>
      </c>
      <c r="KF4" s="13" t="s">
        <v>62</v>
      </c>
      <c r="KG4" s="14">
        <v>44339</v>
      </c>
      <c r="KH4" s="13" t="s">
        <v>63</v>
      </c>
      <c r="KI4" s="14">
        <v>44340</v>
      </c>
      <c r="KJ4" s="13" t="s">
        <v>64</v>
      </c>
      <c r="KK4" s="14">
        <v>44341</v>
      </c>
      <c r="KL4" s="13" t="s">
        <v>65</v>
      </c>
      <c r="KM4" s="14">
        <v>44342</v>
      </c>
      <c r="KN4" s="13" t="s">
        <v>66</v>
      </c>
      <c r="KO4" s="14">
        <v>44343</v>
      </c>
      <c r="KP4" s="13" t="s">
        <v>67</v>
      </c>
      <c r="KQ4" s="14">
        <v>44344</v>
      </c>
      <c r="KR4" s="13" t="s">
        <v>61</v>
      </c>
      <c r="KS4" s="14">
        <v>44345</v>
      </c>
      <c r="KT4" s="13" t="s">
        <v>62</v>
      </c>
      <c r="KU4" s="14">
        <v>44346</v>
      </c>
      <c r="KV4" s="13" t="s">
        <v>63</v>
      </c>
      <c r="KW4" s="14">
        <v>44347</v>
      </c>
      <c r="KX4" s="13" t="s">
        <v>64</v>
      </c>
      <c r="KY4" s="14">
        <v>44348</v>
      </c>
      <c r="KZ4" s="13" t="s">
        <v>65</v>
      </c>
      <c r="LA4" s="14">
        <v>44349</v>
      </c>
      <c r="LB4" s="13" t="s">
        <v>66</v>
      </c>
      <c r="LC4" s="14">
        <v>44350</v>
      </c>
      <c r="LD4" s="13" t="s">
        <v>67</v>
      </c>
      <c r="LE4" s="14">
        <v>44351</v>
      </c>
      <c r="LF4" s="13" t="s">
        <v>61</v>
      </c>
      <c r="LG4" s="14">
        <v>44352</v>
      </c>
      <c r="LH4" s="13" t="s">
        <v>62</v>
      </c>
      <c r="LI4" s="14">
        <v>44353</v>
      </c>
      <c r="LJ4" s="13" t="s">
        <v>63</v>
      </c>
      <c r="LK4" s="14">
        <v>44354</v>
      </c>
      <c r="LL4" s="13" t="s">
        <v>64</v>
      </c>
      <c r="LM4" s="14">
        <v>44355</v>
      </c>
      <c r="LN4" s="13" t="s">
        <v>65</v>
      </c>
      <c r="LO4" s="14">
        <v>44356</v>
      </c>
      <c r="LP4" s="13" t="s">
        <v>66</v>
      </c>
      <c r="LQ4" s="14">
        <v>44357</v>
      </c>
      <c r="LR4" s="13" t="s">
        <v>67</v>
      </c>
      <c r="LS4" s="14">
        <v>44358</v>
      </c>
      <c r="LT4" s="13" t="s">
        <v>61</v>
      </c>
      <c r="LU4" s="14">
        <v>44359</v>
      </c>
      <c r="LV4" s="13" t="s">
        <v>62</v>
      </c>
      <c r="LW4" s="14">
        <v>44360</v>
      </c>
      <c r="LX4" s="13" t="s">
        <v>63</v>
      </c>
      <c r="LY4" s="14">
        <v>44361</v>
      </c>
      <c r="LZ4" s="13" t="s">
        <v>64</v>
      </c>
      <c r="MA4" s="14">
        <v>44362</v>
      </c>
      <c r="MB4" s="13" t="s">
        <v>65</v>
      </c>
      <c r="MC4" s="14">
        <v>44363</v>
      </c>
      <c r="MD4" s="13" t="s">
        <v>66</v>
      </c>
      <c r="ME4" s="14">
        <v>44364</v>
      </c>
      <c r="MF4" s="13" t="s">
        <v>67</v>
      </c>
      <c r="MG4" s="14">
        <v>44365</v>
      </c>
      <c r="MH4" s="13" t="s">
        <v>61</v>
      </c>
      <c r="MI4" s="14">
        <v>44366</v>
      </c>
      <c r="MJ4" s="13" t="s">
        <v>62</v>
      </c>
      <c r="MK4" s="14">
        <v>44367</v>
      </c>
      <c r="ML4" s="13" t="s">
        <v>63</v>
      </c>
      <c r="MM4" s="14">
        <v>44368</v>
      </c>
      <c r="MN4" s="13" t="s">
        <v>64</v>
      </c>
      <c r="MO4" s="14">
        <v>44369</v>
      </c>
      <c r="MP4" s="13" t="s">
        <v>65</v>
      </c>
      <c r="MQ4" s="14">
        <v>44370</v>
      </c>
      <c r="MR4" s="13" t="s">
        <v>66</v>
      </c>
      <c r="MS4" s="14">
        <v>44371</v>
      </c>
      <c r="MT4" s="13" t="s">
        <v>67</v>
      </c>
      <c r="MU4" s="14">
        <v>44372</v>
      </c>
      <c r="MV4" s="13" t="s">
        <v>61</v>
      </c>
      <c r="MW4" s="14">
        <v>44373</v>
      </c>
      <c r="MX4" s="13" t="s">
        <v>62</v>
      </c>
      <c r="MY4" s="14">
        <v>44374</v>
      </c>
      <c r="MZ4" s="13" t="s">
        <v>63</v>
      </c>
      <c r="NA4" s="14">
        <v>44375</v>
      </c>
      <c r="NB4" s="13" t="s">
        <v>64</v>
      </c>
      <c r="NC4" s="14">
        <v>44376</v>
      </c>
      <c r="ND4" s="13" t="s">
        <v>65</v>
      </c>
      <c r="NE4" s="14">
        <v>44377</v>
      </c>
      <c r="NF4" s="13" t="s">
        <v>66</v>
      </c>
      <c r="NG4" s="14">
        <v>44378</v>
      </c>
      <c r="NH4" s="13" t="s">
        <v>67</v>
      </c>
      <c r="NI4" s="14">
        <v>44379</v>
      </c>
      <c r="NJ4" s="13" t="s">
        <v>61</v>
      </c>
      <c r="NK4" s="14">
        <v>44380</v>
      </c>
      <c r="NL4" s="13" t="s">
        <v>62</v>
      </c>
      <c r="NM4" s="14">
        <v>44381</v>
      </c>
      <c r="NN4" s="13" t="s">
        <v>63</v>
      </c>
      <c r="NO4" s="14">
        <v>44382</v>
      </c>
      <c r="NP4" s="13" t="s">
        <v>64</v>
      </c>
      <c r="NQ4" s="14">
        <v>44383</v>
      </c>
      <c r="NR4" s="13" t="s">
        <v>65</v>
      </c>
      <c r="NS4" s="14">
        <v>44384</v>
      </c>
      <c r="NT4" s="13" t="s">
        <v>66</v>
      </c>
      <c r="NU4" s="14">
        <v>44385</v>
      </c>
      <c r="NV4" s="13" t="s">
        <v>67</v>
      </c>
      <c r="NW4" s="14">
        <v>44386</v>
      </c>
      <c r="NX4" s="13" t="s">
        <v>61</v>
      </c>
      <c r="NY4" s="14">
        <v>44387</v>
      </c>
      <c r="NZ4" s="13" t="s">
        <v>62</v>
      </c>
      <c r="OA4" s="14">
        <v>44388</v>
      </c>
      <c r="OB4" s="13" t="s">
        <v>63</v>
      </c>
      <c r="OC4" s="14">
        <v>44389</v>
      </c>
      <c r="OD4" s="13" t="s">
        <v>64</v>
      </c>
      <c r="OE4" s="14">
        <v>44390</v>
      </c>
      <c r="OF4" s="13" t="s">
        <v>65</v>
      </c>
      <c r="OG4" s="14">
        <v>44391</v>
      </c>
      <c r="OH4" s="13" t="s">
        <v>66</v>
      </c>
      <c r="OI4" s="14">
        <v>44392</v>
      </c>
      <c r="OJ4" s="13" t="s">
        <v>67</v>
      </c>
      <c r="OK4" s="14">
        <v>44393</v>
      </c>
      <c r="OL4" s="13" t="s">
        <v>61</v>
      </c>
      <c r="OM4" s="14">
        <v>44394</v>
      </c>
      <c r="ON4" s="13" t="s">
        <v>62</v>
      </c>
      <c r="OO4" s="14">
        <v>44395</v>
      </c>
      <c r="OP4" s="13" t="s">
        <v>63</v>
      </c>
      <c r="OQ4" s="14">
        <v>44396</v>
      </c>
      <c r="OR4" s="13" t="s">
        <v>64</v>
      </c>
      <c r="OS4" s="14">
        <v>44397</v>
      </c>
      <c r="OT4" s="13" t="s">
        <v>65</v>
      </c>
      <c r="OU4" s="14">
        <v>44398</v>
      </c>
      <c r="OV4" s="13" t="s">
        <v>66</v>
      </c>
      <c r="OW4" s="14">
        <v>44399</v>
      </c>
      <c r="OX4" s="13" t="s">
        <v>67</v>
      </c>
      <c r="OY4" s="14">
        <v>44400</v>
      </c>
      <c r="OZ4" s="13" t="s">
        <v>61</v>
      </c>
      <c r="PA4" s="14">
        <v>44401</v>
      </c>
      <c r="PB4" s="13" t="s">
        <v>62</v>
      </c>
      <c r="PC4" s="14">
        <v>44402</v>
      </c>
      <c r="PD4" s="13" t="s">
        <v>63</v>
      </c>
      <c r="PE4" s="14">
        <v>44403</v>
      </c>
      <c r="PF4" s="13" t="s">
        <v>64</v>
      </c>
      <c r="PG4" s="14">
        <v>44404</v>
      </c>
      <c r="PH4" s="13" t="s">
        <v>65</v>
      </c>
      <c r="PI4" s="14">
        <v>44405</v>
      </c>
      <c r="PJ4" s="13" t="s">
        <v>66</v>
      </c>
      <c r="PK4" s="14">
        <v>44406</v>
      </c>
      <c r="PL4" s="13" t="s">
        <v>67</v>
      </c>
      <c r="PM4" s="14">
        <v>44407</v>
      </c>
      <c r="PN4" s="13" t="s">
        <v>61</v>
      </c>
      <c r="PO4" s="14">
        <v>44408</v>
      </c>
      <c r="PP4" s="13" t="s">
        <v>62</v>
      </c>
      <c r="PQ4" s="14">
        <v>44409</v>
      </c>
      <c r="PR4" s="13" t="s">
        <v>63</v>
      </c>
      <c r="PS4" s="14">
        <v>44410</v>
      </c>
      <c r="PT4" s="13" t="s">
        <v>64</v>
      </c>
      <c r="PU4" s="14">
        <v>44411</v>
      </c>
      <c r="PV4" s="13" t="s">
        <v>65</v>
      </c>
      <c r="PW4" s="14">
        <v>44412</v>
      </c>
      <c r="PX4" s="13" t="s">
        <v>66</v>
      </c>
      <c r="PY4" s="14">
        <v>44413</v>
      </c>
      <c r="PZ4" s="13" t="s">
        <v>67</v>
      </c>
      <c r="QA4" s="14">
        <v>44414</v>
      </c>
      <c r="QB4" s="13" t="s">
        <v>61</v>
      </c>
      <c r="QC4" s="14">
        <v>44415</v>
      </c>
      <c r="QD4" s="13" t="s">
        <v>62</v>
      </c>
      <c r="QE4" s="14">
        <v>44416</v>
      </c>
      <c r="QF4" s="13" t="s">
        <v>63</v>
      </c>
      <c r="QG4" s="14">
        <v>44417</v>
      </c>
      <c r="QH4" s="13" t="s">
        <v>64</v>
      </c>
      <c r="QI4" s="14">
        <v>44418</v>
      </c>
      <c r="QJ4" s="13" t="s">
        <v>65</v>
      </c>
      <c r="QK4" s="14">
        <v>44419</v>
      </c>
      <c r="QL4" s="13" t="s">
        <v>66</v>
      </c>
      <c r="QM4" s="14">
        <v>44420</v>
      </c>
      <c r="QN4" s="13" t="s">
        <v>67</v>
      </c>
      <c r="QO4" s="14">
        <v>44421</v>
      </c>
      <c r="QP4" s="13" t="s">
        <v>61</v>
      </c>
      <c r="QQ4" s="14">
        <v>44422</v>
      </c>
      <c r="QR4" s="13" t="s">
        <v>62</v>
      </c>
      <c r="QS4" s="14">
        <v>44423</v>
      </c>
      <c r="QT4" s="13" t="s">
        <v>63</v>
      </c>
      <c r="QU4" s="14">
        <v>44424</v>
      </c>
      <c r="QV4" s="13" t="s">
        <v>64</v>
      </c>
      <c r="QW4" s="14">
        <v>44425</v>
      </c>
      <c r="QX4" s="13" t="s">
        <v>65</v>
      </c>
      <c r="QY4" s="14">
        <v>44426</v>
      </c>
      <c r="QZ4" s="13" t="s">
        <v>66</v>
      </c>
      <c r="RA4" s="14">
        <v>44427</v>
      </c>
      <c r="RB4" s="13" t="s">
        <v>67</v>
      </c>
      <c r="RC4" s="14">
        <v>44428</v>
      </c>
      <c r="RD4" s="13" t="s">
        <v>61</v>
      </c>
      <c r="RE4" s="14">
        <v>44429</v>
      </c>
      <c r="RF4" s="13" t="s">
        <v>62</v>
      </c>
      <c r="RG4" s="14">
        <v>44430</v>
      </c>
      <c r="RH4" s="13" t="s">
        <v>63</v>
      </c>
      <c r="RI4" s="14">
        <v>44431</v>
      </c>
      <c r="RJ4" s="13" t="s">
        <v>64</v>
      </c>
      <c r="RK4" s="14">
        <v>44432</v>
      </c>
      <c r="RL4" s="13" t="s">
        <v>65</v>
      </c>
      <c r="RM4" s="14">
        <v>44433</v>
      </c>
      <c r="RN4" s="13" t="s">
        <v>66</v>
      </c>
      <c r="RO4" s="14">
        <v>44434</v>
      </c>
      <c r="RP4" s="13" t="s">
        <v>67</v>
      </c>
      <c r="RQ4" s="14">
        <v>44435</v>
      </c>
      <c r="RR4" s="13" t="s">
        <v>61</v>
      </c>
      <c r="RS4" s="14">
        <v>44436</v>
      </c>
      <c r="RT4" s="13" t="s">
        <v>62</v>
      </c>
      <c r="RU4" s="14">
        <v>44437</v>
      </c>
      <c r="RV4" s="13" t="s">
        <v>63</v>
      </c>
      <c r="RW4" s="14">
        <v>44438</v>
      </c>
      <c r="RX4" s="13" t="s">
        <v>64</v>
      </c>
      <c r="RY4" s="14">
        <v>44439</v>
      </c>
      <c r="RZ4" s="13" t="s">
        <v>65</v>
      </c>
      <c r="SA4" s="14">
        <v>44440</v>
      </c>
      <c r="SB4" s="13" t="s">
        <v>66</v>
      </c>
      <c r="SC4" s="14">
        <v>44441</v>
      </c>
      <c r="SD4" s="13" t="s">
        <v>67</v>
      </c>
      <c r="SE4" s="14">
        <v>44442</v>
      </c>
      <c r="SF4" s="13" t="s">
        <v>61</v>
      </c>
      <c r="SG4" s="14">
        <v>44443</v>
      </c>
      <c r="SH4" s="13" t="s">
        <v>62</v>
      </c>
      <c r="SI4" s="14">
        <v>44444</v>
      </c>
      <c r="SJ4" s="13" t="s">
        <v>63</v>
      </c>
      <c r="SK4" s="14">
        <v>44445</v>
      </c>
      <c r="SL4" s="13" t="s">
        <v>64</v>
      </c>
      <c r="SM4" s="14">
        <v>44446</v>
      </c>
      <c r="SN4" s="13" t="s">
        <v>65</v>
      </c>
      <c r="SO4" s="14">
        <v>44447</v>
      </c>
      <c r="SP4" s="13" t="s">
        <v>66</v>
      </c>
      <c r="SQ4" s="14">
        <v>44448</v>
      </c>
      <c r="SR4" s="13" t="s">
        <v>67</v>
      </c>
      <c r="SS4" s="14">
        <v>44449</v>
      </c>
      <c r="ST4" s="13" t="s">
        <v>61</v>
      </c>
      <c r="SU4" s="14">
        <v>44450</v>
      </c>
      <c r="SV4" s="13" t="s">
        <v>62</v>
      </c>
      <c r="SW4" s="14">
        <v>44451</v>
      </c>
      <c r="SX4" s="13" t="s">
        <v>63</v>
      </c>
      <c r="SY4" s="14">
        <v>44452</v>
      </c>
      <c r="SZ4" s="13" t="s">
        <v>64</v>
      </c>
      <c r="TA4" s="14">
        <v>44453</v>
      </c>
      <c r="TB4" s="13" t="s">
        <v>65</v>
      </c>
      <c r="TC4" s="14">
        <v>44454</v>
      </c>
      <c r="TD4" s="13" t="s">
        <v>66</v>
      </c>
      <c r="TE4" s="14">
        <v>44455</v>
      </c>
      <c r="TF4" s="13" t="s">
        <v>67</v>
      </c>
      <c r="TG4" s="14">
        <v>44456</v>
      </c>
      <c r="TH4" s="13" t="s">
        <v>61</v>
      </c>
      <c r="TI4" s="14">
        <v>44457</v>
      </c>
      <c r="TJ4" s="13" t="s">
        <v>62</v>
      </c>
      <c r="TK4" s="14">
        <v>44458</v>
      </c>
      <c r="TL4" s="13" t="s">
        <v>63</v>
      </c>
      <c r="TM4" s="14">
        <v>44459</v>
      </c>
      <c r="TN4" s="13" t="s">
        <v>64</v>
      </c>
      <c r="TO4" s="14">
        <v>44460</v>
      </c>
      <c r="TP4" s="13" t="s">
        <v>65</v>
      </c>
      <c r="TQ4" s="14">
        <v>44461</v>
      </c>
      <c r="TR4" s="13" t="s">
        <v>66</v>
      </c>
      <c r="TS4" s="14">
        <v>44462</v>
      </c>
      <c r="TT4" s="13" t="s">
        <v>67</v>
      </c>
      <c r="TU4" s="14">
        <v>44463</v>
      </c>
      <c r="TV4" s="13" t="s">
        <v>61</v>
      </c>
      <c r="TW4" s="14">
        <v>44464</v>
      </c>
      <c r="TX4" s="13" t="s">
        <v>62</v>
      </c>
      <c r="TY4" s="14">
        <v>44465</v>
      </c>
      <c r="TZ4" s="13" t="s">
        <v>63</v>
      </c>
      <c r="UA4" s="14">
        <v>44466</v>
      </c>
      <c r="UB4" s="13" t="s">
        <v>64</v>
      </c>
      <c r="UC4" s="14">
        <v>44467</v>
      </c>
      <c r="UD4" s="13" t="s">
        <v>65</v>
      </c>
      <c r="UE4" s="14">
        <v>44468</v>
      </c>
      <c r="UF4" s="13" t="s">
        <v>66</v>
      </c>
      <c r="UG4" s="14">
        <v>44469</v>
      </c>
      <c r="UH4" s="13" t="s">
        <v>67</v>
      </c>
      <c r="UI4" s="14">
        <v>44470</v>
      </c>
      <c r="UJ4" s="13" t="s">
        <v>61</v>
      </c>
      <c r="UK4" s="14">
        <v>44471</v>
      </c>
      <c r="UL4" s="13" t="s">
        <v>62</v>
      </c>
      <c r="UM4" s="14">
        <v>44472</v>
      </c>
      <c r="UN4" s="13" t="s">
        <v>63</v>
      </c>
      <c r="UO4" s="14">
        <v>44473</v>
      </c>
      <c r="UP4" s="13" t="s">
        <v>64</v>
      </c>
      <c r="UQ4" s="14">
        <v>44474</v>
      </c>
      <c r="UR4" s="13" t="s">
        <v>65</v>
      </c>
      <c r="US4" s="14">
        <v>44475</v>
      </c>
      <c r="UT4" s="13" t="s">
        <v>66</v>
      </c>
      <c r="UU4" s="14">
        <v>44476</v>
      </c>
      <c r="UV4" s="13" t="s">
        <v>67</v>
      </c>
      <c r="UW4" s="14">
        <v>44477</v>
      </c>
      <c r="UX4" s="13" t="s">
        <v>61</v>
      </c>
      <c r="UY4" s="14">
        <v>44478</v>
      </c>
      <c r="UZ4" s="13" t="s">
        <v>62</v>
      </c>
      <c r="VA4" s="14">
        <v>44479</v>
      </c>
      <c r="VB4" s="13" t="s">
        <v>63</v>
      </c>
      <c r="VC4" s="14">
        <v>44480</v>
      </c>
      <c r="VD4" s="13" t="s">
        <v>64</v>
      </c>
      <c r="VE4" s="14">
        <v>44481</v>
      </c>
      <c r="VF4" s="13" t="s">
        <v>65</v>
      </c>
      <c r="VG4" s="14">
        <v>44482</v>
      </c>
      <c r="VH4" s="13" t="s">
        <v>66</v>
      </c>
      <c r="VI4" s="14">
        <v>44483</v>
      </c>
      <c r="VJ4" s="13" t="s">
        <v>67</v>
      </c>
      <c r="VK4" s="14">
        <v>44484</v>
      </c>
      <c r="VL4" s="13" t="s">
        <v>61</v>
      </c>
      <c r="VM4" s="14">
        <v>44485</v>
      </c>
      <c r="VN4" s="13" t="s">
        <v>62</v>
      </c>
      <c r="VO4" s="14">
        <v>44486</v>
      </c>
      <c r="VP4" s="13" t="s">
        <v>63</v>
      </c>
      <c r="VQ4" s="14">
        <v>44487</v>
      </c>
      <c r="VR4" s="13" t="s">
        <v>64</v>
      </c>
      <c r="VS4" s="14">
        <v>44488</v>
      </c>
      <c r="VT4" s="13" t="s">
        <v>65</v>
      </c>
      <c r="VU4" s="14">
        <v>44489</v>
      </c>
      <c r="VV4" s="13" t="s">
        <v>66</v>
      </c>
      <c r="VW4" s="14">
        <v>44490</v>
      </c>
      <c r="VX4" s="13" t="s">
        <v>67</v>
      </c>
      <c r="VY4" s="14">
        <v>44491</v>
      </c>
      <c r="VZ4" s="13" t="s">
        <v>61</v>
      </c>
      <c r="WA4" s="14">
        <v>44492</v>
      </c>
      <c r="WB4" s="13" t="s">
        <v>62</v>
      </c>
      <c r="WC4" s="14">
        <v>44493</v>
      </c>
      <c r="WD4" s="13" t="s">
        <v>63</v>
      </c>
      <c r="WE4" s="14">
        <v>44494</v>
      </c>
      <c r="WF4" s="13" t="s">
        <v>64</v>
      </c>
      <c r="WG4" s="14">
        <v>44495</v>
      </c>
      <c r="WH4" s="13" t="s">
        <v>65</v>
      </c>
      <c r="WI4" s="14">
        <v>44496</v>
      </c>
      <c r="WJ4" s="13" t="s">
        <v>66</v>
      </c>
      <c r="WK4" s="14">
        <v>44497</v>
      </c>
      <c r="WL4" s="13" t="s">
        <v>67</v>
      </c>
      <c r="WM4" s="14">
        <v>44498</v>
      </c>
      <c r="WN4" s="13" t="s">
        <v>61</v>
      </c>
      <c r="WO4" s="14">
        <v>44499</v>
      </c>
      <c r="WP4" s="13" t="s">
        <v>62</v>
      </c>
      <c r="WQ4" s="14">
        <v>44500</v>
      </c>
      <c r="WR4" s="13" t="s">
        <v>63</v>
      </c>
      <c r="WS4" s="14">
        <v>44501</v>
      </c>
      <c r="WT4" s="13" t="s">
        <v>64</v>
      </c>
      <c r="WU4" s="14">
        <v>44502</v>
      </c>
      <c r="WV4" s="13" t="s">
        <v>65</v>
      </c>
      <c r="WW4" s="14">
        <v>44503</v>
      </c>
      <c r="WX4" s="13" t="s">
        <v>66</v>
      </c>
      <c r="WY4" s="14">
        <v>44504</v>
      </c>
      <c r="WZ4" s="13" t="s">
        <v>67</v>
      </c>
      <c r="XA4" s="14">
        <v>44505</v>
      </c>
      <c r="XB4" s="13" t="s">
        <v>61</v>
      </c>
      <c r="XC4" s="14">
        <v>44506</v>
      </c>
      <c r="XD4" s="13" t="s">
        <v>62</v>
      </c>
      <c r="XE4" s="14">
        <v>44507</v>
      </c>
      <c r="XF4" s="13" t="s">
        <v>63</v>
      </c>
      <c r="XG4" s="14">
        <v>44508</v>
      </c>
      <c r="XH4" s="13" t="s">
        <v>64</v>
      </c>
      <c r="XI4" s="14">
        <v>44509</v>
      </c>
      <c r="XJ4" s="13" t="s">
        <v>65</v>
      </c>
      <c r="XK4" s="14">
        <v>44510</v>
      </c>
      <c r="XL4" s="13" t="s">
        <v>66</v>
      </c>
      <c r="XM4" s="14">
        <v>44511</v>
      </c>
      <c r="XN4" s="13" t="s">
        <v>67</v>
      </c>
      <c r="XO4" s="14">
        <v>44512</v>
      </c>
      <c r="XP4" s="13" t="s">
        <v>61</v>
      </c>
      <c r="XQ4" s="14">
        <v>44513</v>
      </c>
      <c r="XR4" s="13" t="s">
        <v>62</v>
      </c>
      <c r="XS4" s="14">
        <v>44514</v>
      </c>
      <c r="XT4" s="13" t="s">
        <v>63</v>
      </c>
      <c r="XU4" s="14">
        <v>44515</v>
      </c>
      <c r="XV4" s="13" t="s">
        <v>64</v>
      </c>
      <c r="XW4" s="14">
        <v>44516</v>
      </c>
      <c r="XX4" s="13" t="s">
        <v>65</v>
      </c>
      <c r="XY4" s="14">
        <v>44517</v>
      </c>
      <c r="XZ4" s="13" t="s">
        <v>66</v>
      </c>
      <c r="YA4" s="14">
        <v>44518</v>
      </c>
      <c r="YB4" s="13" t="s">
        <v>67</v>
      </c>
      <c r="YC4" s="14">
        <v>44519</v>
      </c>
      <c r="YD4" s="13" t="s">
        <v>61</v>
      </c>
      <c r="YE4" s="14">
        <v>44520</v>
      </c>
      <c r="YF4" s="13" t="s">
        <v>62</v>
      </c>
      <c r="YG4" s="14">
        <v>44521</v>
      </c>
      <c r="YH4" s="13" t="s">
        <v>63</v>
      </c>
      <c r="YI4" s="14">
        <v>44522</v>
      </c>
      <c r="YJ4" s="13" t="s">
        <v>64</v>
      </c>
      <c r="YK4" s="14">
        <v>44523</v>
      </c>
      <c r="YL4" s="13" t="s">
        <v>65</v>
      </c>
      <c r="YM4" s="14">
        <v>44524</v>
      </c>
      <c r="YN4" s="13" t="s">
        <v>66</v>
      </c>
      <c r="YO4" s="14">
        <v>44525</v>
      </c>
      <c r="YP4" s="13" t="s">
        <v>67</v>
      </c>
      <c r="YQ4" s="14">
        <v>44526</v>
      </c>
      <c r="YR4" s="13" t="s">
        <v>61</v>
      </c>
      <c r="YS4" s="14">
        <v>44527</v>
      </c>
      <c r="YT4" s="13" t="s">
        <v>62</v>
      </c>
      <c r="YU4" s="14">
        <v>44528</v>
      </c>
      <c r="YV4" s="13" t="s">
        <v>63</v>
      </c>
      <c r="YW4" s="14">
        <v>44529</v>
      </c>
      <c r="YX4" s="13" t="s">
        <v>64</v>
      </c>
      <c r="YY4" s="14">
        <v>44530</v>
      </c>
      <c r="YZ4" s="13" t="s">
        <v>65</v>
      </c>
      <c r="ZA4" s="14">
        <v>44531</v>
      </c>
      <c r="ZB4" s="13" t="s">
        <v>66</v>
      </c>
      <c r="ZC4" s="14">
        <v>44532</v>
      </c>
      <c r="ZD4" s="13" t="s">
        <v>67</v>
      </c>
      <c r="ZE4" s="14">
        <v>44533</v>
      </c>
      <c r="ZF4" s="13" t="s">
        <v>61</v>
      </c>
      <c r="ZG4" s="14">
        <v>44534</v>
      </c>
      <c r="ZH4" s="13" t="s">
        <v>62</v>
      </c>
      <c r="ZI4" s="14">
        <v>44535</v>
      </c>
      <c r="ZJ4" s="13" t="s">
        <v>63</v>
      </c>
      <c r="ZK4" s="14">
        <v>44536</v>
      </c>
      <c r="ZL4" s="13" t="s">
        <v>64</v>
      </c>
      <c r="ZM4" s="14">
        <v>44537</v>
      </c>
      <c r="ZN4" s="13" t="s">
        <v>65</v>
      </c>
      <c r="ZO4" s="14">
        <v>44538</v>
      </c>
      <c r="ZP4" s="13" t="s">
        <v>66</v>
      </c>
      <c r="ZQ4" s="14">
        <v>44539</v>
      </c>
      <c r="ZR4" s="13" t="s">
        <v>67</v>
      </c>
      <c r="ZS4" s="14">
        <v>44540</v>
      </c>
      <c r="ZT4" s="13" t="s">
        <v>61</v>
      </c>
      <c r="ZU4" s="14">
        <v>44541</v>
      </c>
      <c r="ZV4" s="13" t="s">
        <v>62</v>
      </c>
      <c r="ZW4" s="14">
        <v>44542</v>
      </c>
      <c r="ZX4" s="13" t="s">
        <v>63</v>
      </c>
      <c r="ZY4" s="14">
        <v>44543</v>
      </c>
      <c r="ZZ4" s="13" t="s">
        <v>64</v>
      </c>
      <c r="AAA4" s="14">
        <v>44544</v>
      </c>
      <c r="AAB4" s="13" t="s">
        <v>65</v>
      </c>
      <c r="AAC4" s="14">
        <v>44545</v>
      </c>
      <c r="AAD4" s="13" t="s">
        <v>66</v>
      </c>
      <c r="AAE4" s="14">
        <v>44546</v>
      </c>
      <c r="AAF4" s="13" t="s">
        <v>67</v>
      </c>
      <c r="AAG4" s="14">
        <v>44547</v>
      </c>
      <c r="AAH4" s="13" t="s">
        <v>61</v>
      </c>
      <c r="AAI4" s="14">
        <v>44548</v>
      </c>
      <c r="AAJ4" s="13" t="s">
        <v>62</v>
      </c>
      <c r="AAK4" s="14">
        <v>44549</v>
      </c>
      <c r="AAL4" s="13" t="s">
        <v>63</v>
      </c>
      <c r="AAM4" s="14">
        <v>44550</v>
      </c>
      <c r="AAN4" s="13" t="s">
        <v>64</v>
      </c>
      <c r="AAO4" s="14">
        <v>44551</v>
      </c>
      <c r="AAP4" s="13" t="s">
        <v>65</v>
      </c>
      <c r="AAQ4" s="14">
        <v>44552</v>
      </c>
      <c r="AAR4" s="13" t="s">
        <v>66</v>
      </c>
      <c r="AAS4" s="14">
        <v>44553</v>
      </c>
      <c r="AAT4" s="13" t="s">
        <v>67</v>
      </c>
      <c r="AAU4" s="14">
        <v>44554</v>
      </c>
      <c r="AAV4" s="13" t="s">
        <v>61</v>
      </c>
      <c r="AAW4" s="14">
        <v>44555</v>
      </c>
      <c r="AAX4" s="13" t="s">
        <v>62</v>
      </c>
      <c r="AAY4" s="14">
        <v>44556</v>
      </c>
      <c r="AAZ4" s="13" t="s">
        <v>63</v>
      </c>
      <c r="ABA4" s="14">
        <v>44557</v>
      </c>
      <c r="ABB4" s="13" t="s">
        <v>64</v>
      </c>
      <c r="ABC4" s="14">
        <v>44558</v>
      </c>
      <c r="ABD4" s="13" t="s">
        <v>65</v>
      </c>
      <c r="ABE4" s="14">
        <v>44559</v>
      </c>
      <c r="ABF4" s="13" t="s">
        <v>66</v>
      </c>
      <c r="ABG4" s="14">
        <v>44560</v>
      </c>
      <c r="ABH4" s="13" t="s">
        <v>67</v>
      </c>
      <c r="ABI4" s="14">
        <v>44561</v>
      </c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</row>
    <row r="5" spans="1:752" x14ac:dyDescent="0.3">
      <c r="A5" s="35"/>
      <c r="B5" s="36"/>
      <c r="C5" s="36"/>
      <c r="D5" s="37"/>
      <c r="E5" s="10"/>
      <c r="F5" s="47"/>
      <c r="G5" s="48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</row>
    <row r="6" spans="1:752" x14ac:dyDescent="0.3">
      <c r="A6" s="35"/>
      <c r="B6" s="36"/>
      <c r="C6" s="36"/>
      <c r="D6" s="37"/>
      <c r="E6" s="10"/>
      <c r="F6" s="47"/>
      <c r="G6" s="48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</row>
    <row r="7" spans="1:752" x14ac:dyDescent="0.3">
      <c r="A7" s="35"/>
      <c r="B7" s="36"/>
      <c r="C7" s="36"/>
      <c r="D7" s="37"/>
      <c r="E7" s="10"/>
      <c r="F7" s="47"/>
      <c r="G7" s="48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</row>
    <row r="8" spans="1:752" x14ac:dyDescent="0.3">
      <c r="A8" s="35"/>
      <c r="B8" s="36"/>
      <c r="C8" s="36"/>
      <c r="D8" s="37"/>
      <c r="E8" s="10"/>
      <c r="F8" s="47"/>
      <c r="G8" s="4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</row>
    <row r="9" spans="1:752" x14ac:dyDescent="0.3">
      <c r="A9" s="35"/>
      <c r="B9" s="36"/>
      <c r="C9" s="36"/>
      <c r="D9" s="37"/>
      <c r="E9" s="10"/>
      <c r="F9" s="47"/>
      <c r="G9" s="4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</row>
    <row r="10" spans="1:752" x14ac:dyDescent="0.3">
      <c r="A10" s="35"/>
      <c r="B10" s="36"/>
      <c r="C10" s="36"/>
      <c r="D10" s="37"/>
      <c r="E10" s="10"/>
      <c r="F10" s="47"/>
      <c r="G10" s="48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</row>
  </sheetData>
  <mergeCells count="16">
    <mergeCell ref="F10:G10"/>
    <mergeCell ref="F9:G9"/>
    <mergeCell ref="F8:G8"/>
    <mergeCell ref="F7:G7"/>
    <mergeCell ref="F6:G6"/>
    <mergeCell ref="A5:D5"/>
    <mergeCell ref="A1:A3"/>
    <mergeCell ref="B1:B3"/>
    <mergeCell ref="A4:D4"/>
    <mergeCell ref="E4:G4"/>
    <mergeCell ref="F5:G5"/>
    <mergeCell ref="A10:D10"/>
    <mergeCell ref="A9:D9"/>
    <mergeCell ref="A8:D8"/>
    <mergeCell ref="A7:D7"/>
    <mergeCell ref="A6:D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8486-DE55-402B-97EE-E317EC712D29}">
  <sheetPr codeName="Sheet4">
    <tabColor rgb="FF00B0F0"/>
  </sheetPr>
  <dimension ref="A1:ABX10"/>
  <sheetViews>
    <sheetView workbookViewId="0">
      <pane xSplit="7" ySplit="4" topLeftCell="ON5" activePane="bottomRight" state="frozen"/>
      <selection pane="topRight" activeCell="H1" sqref="H1"/>
      <selection pane="bottomLeft" activeCell="A5" sqref="A5"/>
      <selection pane="bottomRight" activeCell="OQ23" sqref="OQ23"/>
    </sheetView>
  </sheetViews>
  <sheetFormatPr defaultRowHeight="16.5" x14ac:dyDescent="0.3"/>
  <cols>
    <col min="1" max="1" width="6.875" bestFit="1" customWidth="1"/>
    <col min="2" max="2" width="7.125" bestFit="1" customWidth="1"/>
    <col min="5" max="7" width="6.25" style="11" customWidth="1"/>
    <col min="8" max="8" width="3.625" bestFit="1" customWidth="1"/>
    <col min="9" max="9" width="12.5" bestFit="1" customWidth="1"/>
    <col min="10" max="10" width="3.625" bestFit="1" customWidth="1"/>
    <col min="11" max="11" width="12.5" bestFit="1" customWidth="1"/>
    <col min="12" max="12" width="3.625" bestFit="1" customWidth="1"/>
    <col min="13" max="13" width="12.5" bestFit="1" customWidth="1"/>
    <col min="14" max="14" width="3.625" bestFit="1" customWidth="1"/>
    <col min="15" max="15" width="12.5" bestFit="1" customWidth="1"/>
    <col min="16" max="16" width="3.625" bestFit="1" customWidth="1"/>
    <col min="17" max="17" width="12.5" bestFit="1" customWidth="1"/>
    <col min="18" max="18" width="3.625" bestFit="1" customWidth="1"/>
    <col min="19" max="19" width="12.5" bestFit="1" customWidth="1"/>
    <col min="20" max="20" width="3.625" bestFit="1" customWidth="1"/>
    <col min="21" max="21" width="12.5" bestFit="1" customWidth="1"/>
    <col min="22" max="22" width="3.625" bestFit="1" customWidth="1"/>
    <col min="23" max="23" width="12.5" bestFit="1" customWidth="1"/>
    <col min="24" max="24" width="3.625" bestFit="1" customWidth="1"/>
    <col min="25" max="25" width="12.5" bestFit="1" customWidth="1"/>
    <col min="26" max="26" width="3.625" bestFit="1" customWidth="1"/>
    <col min="27" max="27" width="12.5" bestFit="1" customWidth="1"/>
    <col min="28" max="28" width="3.625" bestFit="1" customWidth="1"/>
    <col min="29" max="29" width="12.5" bestFit="1" customWidth="1"/>
    <col min="30" max="30" width="3.625" bestFit="1" customWidth="1"/>
    <col min="31" max="31" width="12.5" bestFit="1" customWidth="1"/>
    <col min="32" max="32" width="3.625" bestFit="1" customWidth="1"/>
    <col min="33" max="33" width="12.5" bestFit="1" customWidth="1"/>
    <col min="34" max="34" width="3.625" bestFit="1" customWidth="1"/>
    <col min="35" max="35" width="12.5" bestFit="1" customWidth="1"/>
    <col min="36" max="36" width="3.625" bestFit="1" customWidth="1"/>
    <col min="37" max="37" width="12.5" bestFit="1" customWidth="1"/>
    <col min="38" max="38" width="3.625" bestFit="1" customWidth="1"/>
    <col min="39" max="39" width="12.5" bestFit="1" customWidth="1"/>
    <col min="40" max="40" width="3.625" bestFit="1" customWidth="1"/>
    <col min="41" max="41" width="12.5" bestFit="1" customWidth="1"/>
    <col min="42" max="42" width="3.625" bestFit="1" customWidth="1"/>
    <col min="43" max="43" width="12.5" bestFit="1" customWidth="1"/>
    <col min="44" max="44" width="3.625" bestFit="1" customWidth="1"/>
    <col min="45" max="45" width="12.5" bestFit="1" customWidth="1"/>
    <col min="46" max="46" width="3.625" bestFit="1" customWidth="1"/>
    <col min="47" max="47" width="12.5" bestFit="1" customWidth="1"/>
    <col min="48" max="48" width="3.625" bestFit="1" customWidth="1"/>
    <col min="49" max="49" width="12.5" bestFit="1" customWidth="1"/>
    <col min="50" max="50" width="3.625" bestFit="1" customWidth="1"/>
    <col min="51" max="51" width="12.5" bestFit="1" customWidth="1"/>
    <col min="52" max="52" width="3.625" bestFit="1" customWidth="1"/>
    <col min="53" max="53" width="12.5" bestFit="1" customWidth="1"/>
    <col min="54" max="54" width="3.625" bestFit="1" customWidth="1"/>
    <col min="55" max="55" width="12.5" bestFit="1" customWidth="1"/>
    <col min="56" max="56" width="3.625" bestFit="1" customWidth="1"/>
    <col min="57" max="57" width="12.5" bestFit="1" customWidth="1"/>
    <col min="58" max="58" width="3.625" bestFit="1" customWidth="1"/>
    <col min="59" max="59" width="12.5" bestFit="1" customWidth="1"/>
    <col min="60" max="60" width="3.625" bestFit="1" customWidth="1"/>
    <col min="61" max="61" width="12.5" bestFit="1" customWidth="1"/>
    <col min="62" max="62" width="3.625" bestFit="1" customWidth="1"/>
    <col min="63" max="63" width="12.5" bestFit="1" customWidth="1"/>
    <col min="64" max="64" width="3.625" bestFit="1" customWidth="1"/>
    <col min="65" max="65" width="12.5" bestFit="1" customWidth="1"/>
    <col min="66" max="66" width="3.625" bestFit="1" customWidth="1"/>
    <col min="67" max="67" width="12.5" bestFit="1" customWidth="1"/>
    <col min="68" max="68" width="3.625" bestFit="1" customWidth="1"/>
    <col min="69" max="69" width="12.5" bestFit="1" customWidth="1"/>
    <col min="70" max="70" width="3.625" bestFit="1" customWidth="1"/>
    <col min="71" max="71" width="12.5" bestFit="1" customWidth="1"/>
    <col min="72" max="72" width="3.625" bestFit="1" customWidth="1"/>
    <col min="73" max="73" width="12.5" bestFit="1" customWidth="1"/>
    <col min="74" max="74" width="3.625" bestFit="1" customWidth="1"/>
    <col min="75" max="75" width="12.5" bestFit="1" customWidth="1"/>
    <col min="76" max="76" width="3.625" bestFit="1" customWidth="1"/>
    <col min="77" max="77" width="12.5" bestFit="1" customWidth="1"/>
    <col min="78" max="78" width="3.625" bestFit="1" customWidth="1"/>
    <col min="79" max="79" width="12.5" bestFit="1" customWidth="1"/>
    <col min="80" max="80" width="3.625" bestFit="1" customWidth="1"/>
    <col min="81" max="81" width="12.5" bestFit="1" customWidth="1"/>
    <col min="82" max="82" width="3.625" bestFit="1" customWidth="1"/>
    <col min="83" max="83" width="12.5" bestFit="1" customWidth="1"/>
    <col min="84" max="84" width="3.625" bestFit="1" customWidth="1"/>
    <col min="85" max="85" width="12.5" bestFit="1" customWidth="1"/>
    <col min="86" max="86" width="3.625" bestFit="1" customWidth="1"/>
    <col min="87" max="87" width="12.5" bestFit="1" customWidth="1"/>
    <col min="88" max="88" width="3.625" bestFit="1" customWidth="1"/>
    <col min="89" max="89" width="12.5" bestFit="1" customWidth="1"/>
    <col min="90" max="90" width="3.625" bestFit="1" customWidth="1"/>
    <col min="91" max="91" width="12.5" bestFit="1" customWidth="1"/>
    <col min="92" max="92" width="3.625" bestFit="1" customWidth="1"/>
    <col min="93" max="93" width="12.5" bestFit="1" customWidth="1"/>
    <col min="94" max="94" width="3.625" bestFit="1" customWidth="1"/>
    <col min="95" max="95" width="12.5" bestFit="1" customWidth="1"/>
    <col min="96" max="96" width="3.625" bestFit="1" customWidth="1"/>
    <col min="97" max="97" width="12.5" bestFit="1" customWidth="1"/>
    <col min="98" max="98" width="3.625" bestFit="1" customWidth="1"/>
    <col min="99" max="99" width="12.5" bestFit="1" customWidth="1"/>
    <col min="100" max="100" width="3.625" bestFit="1" customWidth="1"/>
    <col min="101" max="101" width="12.5" bestFit="1" customWidth="1"/>
    <col min="102" max="102" width="3.625" bestFit="1" customWidth="1"/>
    <col min="103" max="103" width="12.5" bestFit="1" customWidth="1"/>
    <col min="104" max="104" width="3.625" bestFit="1" customWidth="1"/>
    <col min="105" max="105" width="12.5" bestFit="1" customWidth="1"/>
    <col min="106" max="106" width="3.625" bestFit="1" customWidth="1"/>
    <col min="107" max="107" width="12.5" bestFit="1" customWidth="1"/>
    <col min="108" max="108" width="3.625" bestFit="1" customWidth="1"/>
    <col min="109" max="109" width="12.5" bestFit="1" customWidth="1"/>
    <col min="110" max="110" width="3.625" bestFit="1" customWidth="1"/>
    <col min="111" max="111" width="12.5" bestFit="1" customWidth="1"/>
    <col min="112" max="112" width="3.625" bestFit="1" customWidth="1"/>
    <col min="113" max="113" width="12.5" bestFit="1" customWidth="1"/>
    <col min="114" max="114" width="3.625" bestFit="1" customWidth="1"/>
    <col min="115" max="115" width="12.5" bestFit="1" customWidth="1"/>
    <col min="116" max="116" width="3.625" bestFit="1" customWidth="1"/>
    <col min="117" max="117" width="12.5" bestFit="1" customWidth="1"/>
    <col min="118" max="118" width="3.625" bestFit="1" customWidth="1"/>
    <col min="119" max="119" width="12.5" bestFit="1" customWidth="1"/>
    <col min="120" max="120" width="3.625" bestFit="1" customWidth="1"/>
    <col min="121" max="121" width="12.5" bestFit="1" customWidth="1"/>
    <col min="122" max="122" width="3.625" bestFit="1" customWidth="1"/>
    <col min="123" max="123" width="12.5" bestFit="1" customWidth="1"/>
    <col min="124" max="124" width="3.625" bestFit="1" customWidth="1"/>
    <col min="125" max="125" width="12.5" bestFit="1" customWidth="1"/>
    <col min="126" max="126" width="3.625" bestFit="1" customWidth="1"/>
    <col min="127" max="127" width="12.5" bestFit="1" customWidth="1"/>
    <col min="128" max="128" width="3.625" bestFit="1" customWidth="1"/>
    <col min="129" max="129" width="12.5" bestFit="1" customWidth="1"/>
    <col min="130" max="130" width="3.625" bestFit="1" customWidth="1"/>
    <col min="131" max="131" width="12.5" bestFit="1" customWidth="1"/>
    <col min="132" max="132" width="3.625" bestFit="1" customWidth="1"/>
    <col min="133" max="133" width="12.5" bestFit="1" customWidth="1"/>
    <col min="134" max="134" width="3.625" bestFit="1" customWidth="1"/>
    <col min="135" max="135" width="12.5" bestFit="1" customWidth="1"/>
    <col min="136" max="136" width="3.625" bestFit="1" customWidth="1"/>
    <col min="137" max="137" width="12.5" bestFit="1" customWidth="1"/>
    <col min="138" max="138" width="3.625" bestFit="1" customWidth="1"/>
    <col min="139" max="139" width="12.5" bestFit="1" customWidth="1"/>
    <col min="140" max="140" width="3.625" bestFit="1" customWidth="1"/>
    <col min="141" max="141" width="12.5" bestFit="1" customWidth="1"/>
    <col min="142" max="142" width="3.625" bestFit="1" customWidth="1"/>
    <col min="143" max="143" width="12.5" bestFit="1" customWidth="1"/>
    <col min="144" max="144" width="3.625" bestFit="1" customWidth="1"/>
    <col min="145" max="145" width="12.5" bestFit="1" customWidth="1"/>
    <col min="146" max="146" width="3.625" bestFit="1" customWidth="1"/>
    <col min="147" max="147" width="12.5" bestFit="1" customWidth="1"/>
    <col min="148" max="148" width="3.625" bestFit="1" customWidth="1"/>
    <col min="149" max="149" width="12.5" bestFit="1" customWidth="1"/>
    <col min="150" max="150" width="3.625" bestFit="1" customWidth="1"/>
    <col min="151" max="151" width="12.5" bestFit="1" customWidth="1"/>
    <col min="152" max="152" width="3.625" bestFit="1" customWidth="1"/>
    <col min="153" max="153" width="12.5" bestFit="1" customWidth="1"/>
    <col min="154" max="154" width="3.625" bestFit="1" customWidth="1"/>
    <col min="155" max="155" width="12.5" bestFit="1" customWidth="1"/>
    <col min="156" max="156" width="3.625" bestFit="1" customWidth="1"/>
    <col min="157" max="157" width="12.5" bestFit="1" customWidth="1"/>
    <col min="158" max="158" width="3.625" bestFit="1" customWidth="1"/>
    <col min="159" max="159" width="12.5" bestFit="1" customWidth="1"/>
    <col min="160" max="160" width="3.625" bestFit="1" customWidth="1"/>
    <col min="161" max="161" width="12.5" bestFit="1" customWidth="1"/>
    <col min="162" max="162" width="3.625" bestFit="1" customWidth="1"/>
    <col min="163" max="163" width="12.5" bestFit="1" customWidth="1"/>
    <col min="164" max="164" width="3.625" bestFit="1" customWidth="1"/>
    <col min="165" max="165" width="12.5" bestFit="1" customWidth="1"/>
    <col min="166" max="166" width="3.625" bestFit="1" customWidth="1"/>
    <col min="167" max="167" width="12.5" bestFit="1" customWidth="1"/>
    <col min="168" max="168" width="3.625" bestFit="1" customWidth="1"/>
    <col min="169" max="169" width="12.5" bestFit="1" customWidth="1"/>
    <col min="170" max="170" width="3.625" bestFit="1" customWidth="1"/>
    <col min="171" max="171" width="12.5" bestFit="1" customWidth="1"/>
    <col min="172" max="172" width="3.625" bestFit="1" customWidth="1"/>
    <col min="173" max="173" width="12.5" bestFit="1" customWidth="1"/>
    <col min="174" max="174" width="3.625" bestFit="1" customWidth="1"/>
    <col min="175" max="175" width="12.5" bestFit="1" customWidth="1"/>
    <col min="176" max="176" width="3.625" bestFit="1" customWidth="1"/>
    <col min="177" max="177" width="12.5" bestFit="1" customWidth="1"/>
    <col min="178" max="178" width="3.625" bestFit="1" customWidth="1"/>
    <col min="179" max="179" width="12.5" bestFit="1" customWidth="1"/>
    <col min="180" max="180" width="3.625" bestFit="1" customWidth="1"/>
    <col min="181" max="181" width="12.5" bestFit="1" customWidth="1"/>
    <col min="182" max="182" width="3.625" bestFit="1" customWidth="1"/>
    <col min="183" max="183" width="12.5" bestFit="1" customWidth="1"/>
    <col min="184" max="184" width="3.625" bestFit="1" customWidth="1"/>
    <col min="185" max="185" width="12.5" bestFit="1" customWidth="1"/>
    <col min="186" max="186" width="3.625" bestFit="1" customWidth="1"/>
    <col min="187" max="187" width="12.5" bestFit="1" customWidth="1"/>
    <col min="188" max="188" width="3.625" bestFit="1" customWidth="1"/>
    <col min="189" max="189" width="12.5" bestFit="1" customWidth="1"/>
    <col min="190" max="190" width="3.625" bestFit="1" customWidth="1"/>
    <col min="191" max="191" width="12.5" bestFit="1" customWidth="1"/>
    <col min="192" max="192" width="3.625" bestFit="1" customWidth="1"/>
    <col min="193" max="193" width="12.5" bestFit="1" customWidth="1"/>
    <col min="194" max="194" width="3.625" bestFit="1" customWidth="1"/>
    <col min="195" max="195" width="12.5" bestFit="1" customWidth="1"/>
    <col min="196" max="196" width="3.625" bestFit="1" customWidth="1"/>
    <col min="197" max="197" width="12.5" bestFit="1" customWidth="1"/>
    <col min="198" max="198" width="3.625" bestFit="1" customWidth="1"/>
    <col min="199" max="199" width="12.5" bestFit="1" customWidth="1"/>
    <col min="200" max="200" width="3.625" bestFit="1" customWidth="1"/>
    <col min="201" max="201" width="12.5" bestFit="1" customWidth="1"/>
    <col min="202" max="202" width="3.625" bestFit="1" customWidth="1"/>
    <col min="203" max="203" width="12.5" bestFit="1" customWidth="1"/>
    <col min="204" max="204" width="3.625" bestFit="1" customWidth="1"/>
    <col min="205" max="205" width="12.5" bestFit="1" customWidth="1"/>
    <col min="206" max="206" width="3.625" bestFit="1" customWidth="1"/>
    <col min="207" max="207" width="12.5" bestFit="1" customWidth="1"/>
    <col min="208" max="208" width="3.625" bestFit="1" customWidth="1"/>
    <col min="209" max="209" width="12.5" bestFit="1" customWidth="1"/>
    <col min="210" max="210" width="3.625" bestFit="1" customWidth="1"/>
    <col min="211" max="211" width="12.5" bestFit="1" customWidth="1"/>
    <col min="212" max="212" width="3.625" bestFit="1" customWidth="1"/>
    <col min="213" max="213" width="12.5" bestFit="1" customWidth="1"/>
    <col min="214" max="214" width="3.625" bestFit="1" customWidth="1"/>
    <col min="215" max="215" width="12.5" bestFit="1" customWidth="1"/>
    <col min="216" max="216" width="3.625" bestFit="1" customWidth="1"/>
    <col min="217" max="217" width="12.5" bestFit="1" customWidth="1"/>
    <col min="218" max="218" width="3.625" bestFit="1" customWidth="1"/>
    <col min="219" max="219" width="12.5" bestFit="1" customWidth="1"/>
    <col min="220" max="220" width="3.625" bestFit="1" customWidth="1"/>
    <col min="221" max="221" width="12.5" bestFit="1" customWidth="1"/>
    <col min="222" max="222" width="3.625" bestFit="1" customWidth="1"/>
    <col min="223" max="223" width="12.5" bestFit="1" customWidth="1"/>
    <col min="224" max="224" width="3.625" bestFit="1" customWidth="1"/>
    <col min="225" max="225" width="12.5" bestFit="1" customWidth="1"/>
    <col min="226" max="226" width="3.625" bestFit="1" customWidth="1"/>
    <col min="227" max="227" width="12.5" bestFit="1" customWidth="1"/>
    <col min="228" max="228" width="3.625" bestFit="1" customWidth="1"/>
    <col min="229" max="229" width="12.5" bestFit="1" customWidth="1"/>
    <col min="230" max="230" width="3.625" bestFit="1" customWidth="1"/>
    <col min="231" max="231" width="12.5" bestFit="1" customWidth="1"/>
    <col min="232" max="232" width="3.625" bestFit="1" customWidth="1"/>
    <col min="233" max="233" width="12.5" bestFit="1" customWidth="1"/>
    <col min="234" max="234" width="3.625" bestFit="1" customWidth="1"/>
    <col min="235" max="235" width="12.5" bestFit="1" customWidth="1"/>
    <col min="236" max="236" width="3.625" bestFit="1" customWidth="1"/>
    <col min="237" max="237" width="12.5" bestFit="1" customWidth="1"/>
    <col min="238" max="238" width="3.625" bestFit="1" customWidth="1"/>
    <col min="239" max="239" width="12.5" bestFit="1" customWidth="1"/>
    <col min="240" max="240" width="3.625" bestFit="1" customWidth="1"/>
    <col min="241" max="241" width="12.5" bestFit="1" customWidth="1"/>
    <col min="242" max="242" width="3.625" bestFit="1" customWidth="1"/>
    <col min="243" max="243" width="12.5" bestFit="1" customWidth="1"/>
    <col min="244" max="244" width="3.625" bestFit="1" customWidth="1"/>
    <col min="245" max="245" width="12.5" bestFit="1" customWidth="1"/>
    <col min="246" max="246" width="3.625" bestFit="1" customWidth="1"/>
    <col min="247" max="247" width="12.5" bestFit="1" customWidth="1"/>
    <col min="248" max="248" width="3.625" bestFit="1" customWidth="1"/>
    <col min="249" max="249" width="12.5" bestFit="1" customWidth="1"/>
    <col min="250" max="250" width="3.625" bestFit="1" customWidth="1"/>
    <col min="251" max="251" width="12.5" bestFit="1" customWidth="1"/>
    <col min="252" max="252" width="3.625" bestFit="1" customWidth="1"/>
    <col min="253" max="253" width="12.5" bestFit="1" customWidth="1"/>
    <col min="254" max="254" width="3.625" bestFit="1" customWidth="1"/>
    <col min="255" max="255" width="12.5" bestFit="1" customWidth="1"/>
    <col min="256" max="256" width="3.625" bestFit="1" customWidth="1"/>
    <col min="257" max="257" width="12.5" bestFit="1" customWidth="1"/>
    <col min="258" max="258" width="3.625" bestFit="1" customWidth="1"/>
    <col min="259" max="259" width="12.5" bestFit="1" customWidth="1"/>
    <col min="260" max="260" width="3.625" bestFit="1" customWidth="1"/>
    <col min="261" max="261" width="12.5" bestFit="1" customWidth="1"/>
    <col min="262" max="262" width="3.625" bestFit="1" customWidth="1"/>
    <col min="263" max="263" width="12.5" bestFit="1" customWidth="1"/>
    <col min="264" max="264" width="3.625" bestFit="1" customWidth="1"/>
    <col min="265" max="265" width="12.5" bestFit="1" customWidth="1"/>
    <col min="266" max="266" width="3.625" bestFit="1" customWidth="1"/>
    <col min="267" max="267" width="12.5" bestFit="1" customWidth="1"/>
    <col min="268" max="268" width="3.625" bestFit="1" customWidth="1"/>
    <col min="269" max="269" width="12.5" bestFit="1" customWidth="1"/>
    <col min="270" max="270" width="3.625" bestFit="1" customWidth="1"/>
    <col min="271" max="271" width="12.5" bestFit="1" customWidth="1"/>
    <col min="272" max="272" width="3.625" bestFit="1" customWidth="1"/>
    <col min="273" max="273" width="12.5" bestFit="1" customWidth="1"/>
    <col min="274" max="274" width="3.625" bestFit="1" customWidth="1"/>
    <col min="275" max="275" width="12.5" bestFit="1" customWidth="1"/>
    <col min="276" max="276" width="3.625" bestFit="1" customWidth="1"/>
    <col min="277" max="277" width="12.5" bestFit="1" customWidth="1"/>
    <col min="278" max="278" width="3.625" bestFit="1" customWidth="1"/>
    <col min="279" max="279" width="12.5" bestFit="1" customWidth="1"/>
    <col min="280" max="280" width="3.625" bestFit="1" customWidth="1"/>
    <col min="281" max="281" width="12.5" bestFit="1" customWidth="1"/>
    <col min="282" max="282" width="3.625" bestFit="1" customWidth="1"/>
    <col min="283" max="283" width="12.5" bestFit="1" customWidth="1"/>
    <col min="284" max="284" width="3.625" bestFit="1" customWidth="1"/>
    <col min="285" max="285" width="12.5" bestFit="1" customWidth="1"/>
    <col min="286" max="286" width="3.625" bestFit="1" customWidth="1"/>
    <col min="287" max="287" width="12.5" bestFit="1" customWidth="1"/>
    <col min="288" max="288" width="3.625" bestFit="1" customWidth="1"/>
    <col min="289" max="289" width="12.5" bestFit="1" customWidth="1"/>
    <col min="290" max="290" width="3.625" bestFit="1" customWidth="1"/>
    <col min="291" max="291" width="12.5" bestFit="1" customWidth="1"/>
    <col min="292" max="292" width="3.625" bestFit="1" customWidth="1"/>
    <col min="293" max="293" width="12.5" bestFit="1" customWidth="1"/>
    <col min="294" max="294" width="3.625" bestFit="1" customWidth="1"/>
    <col min="295" max="295" width="12.5" bestFit="1" customWidth="1"/>
    <col min="296" max="296" width="3.625" bestFit="1" customWidth="1"/>
    <col min="297" max="297" width="12.5" bestFit="1" customWidth="1"/>
    <col min="298" max="298" width="3.625" bestFit="1" customWidth="1"/>
    <col min="299" max="299" width="12.5" bestFit="1" customWidth="1"/>
    <col min="300" max="300" width="3.625" bestFit="1" customWidth="1"/>
    <col min="301" max="301" width="12.5" bestFit="1" customWidth="1"/>
    <col min="302" max="302" width="3.625" bestFit="1" customWidth="1"/>
    <col min="303" max="303" width="12.5" bestFit="1" customWidth="1"/>
    <col min="304" max="304" width="3.625" bestFit="1" customWidth="1"/>
    <col min="305" max="305" width="12.5" bestFit="1" customWidth="1"/>
    <col min="306" max="306" width="3.625" bestFit="1" customWidth="1"/>
    <col min="307" max="307" width="12.5" bestFit="1" customWidth="1"/>
    <col min="308" max="308" width="3.625" bestFit="1" customWidth="1"/>
    <col min="309" max="309" width="12.5" bestFit="1" customWidth="1"/>
    <col min="310" max="310" width="3.625" bestFit="1" customWidth="1"/>
    <col min="311" max="311" width="12.5" bestFit="1" customWidth="1"/>
    <col min="312" max="312" width="3.625" bestFit="1" customWidth="1"/>
    <col min="313" max="313" width="12.5" bestFit="1" customWidth="1"/>
    <col min="314" max="314" width="3.625" bestFit="1" customWidth="1"/>
    <col min="315" max="315" width="12.5" bestFit="1" customWidth="1"/>
    <col min="316" max="316" width="3.625" bestFit="1" customWidth="1"/>
    <col min="317" max="317" width="12.5" bestFit="1" customWidth="1"/>
    <col min="318" max="318" width="3.625" bestFit="1" customWidth="1"/>
    <col min="319" max="319" width="12.5" bestFit="1" customWidth="1"/>
    <col min="320" max="320" width="3.625" bestFit="1" customWidth="1"/>
    <col min="321" max="321" width="12.5" bestFit="1" customWidth="1"/>
    <col min="322" max="322" width="3.625" bestFit="1" customWidth="1"/>
    <col min="323" max="323" width="12.5" bestFit="1" customWidth="1"/>
    <col min="324" max="324" width="3.625" bestFit="1" customWidth="1"/>
    <col min="325" max="325" width="12.5" bestFit="1" customWidth="1"/>
    <col min="326" max="326" width="3.625" bestFit="1" customWidth="1"/>
    <col min="327" max="327" width="12.5" bestFit="1" customWidth="1"/>
    <col min="328" max="328" width="3.625" bestFit="1" customWidth="1"/>
    <col min="329" max="329" width="12.5" bestFit="1" customWidth="1"/>
    <col min="330" max="330" width="3.625" bestFit="1" customWidth="1"/>
    <col min="331" max="331" width="12.5" bestFit="1" customWidth="1"/>
    <col min="332" max="332" width="3.625" bestFit="1" customWidth="1"/>
    <col min="333" max="333" width="12.5" bestFit="1" customWidth="1"/>
    <col min="334" max="334" width="3.625" bestFit="1" customWidth="1"/>
    <col min="335" max="335" width="12.5" bestFit="1" customWidth="1"/>
    <col min="336" max="336" width="3.625" bestFit="1" customWidth="1"/>
    <col min="337" max="337" width="12.5" bestFit="1" customWidth="1"/>
    <col min="338" max="338" width="3.625" bestFit="1" customWidth="1"/>
    <col min="339" max="339" width="12.5" bestFit="1" customWidth="1"/>
    <col min="340" max="340" width="3.625" bestFit="1" customWidth="1"/>
    <col min="341" max="341" width="12.5" bestFit="1" customWidth="1"/>
    <col min="342" max="342" width="3.625" bestFit="1" customWidth="1"/>
    <col min="343" max="343" width="12.5" bestFit="1" customWidth="1"/>
    <col min="344" max="344" width="3.625" bestFit="1" customWidth="1"/>
    <col min="345" max="345" width="12.5" bestFit="1" customWidth="1"/>
    <col min="346" max="346" width="3.625" bestFit="1" customWidth="1"/>
    <col min="347" max="347" width="12.5" bestFit="1" customWidth="1"/>
    <col min="348" max="348" width="3.625" bestFit="1" customWidth="1"/>
    <col min="349" max="349" width="12.5" bestFit="1" customWidth="1"/>
    <col min="350" max="350" width="3.625" bestFit="1" customWidth="1"/>
    <col min="351" max="351" width="12.5" bestFit="1" customWidth="1"/>
    <col min="352" max="352" width="3.625" bestFit="1" customWidth="1"/>
    <col min="353" max="353" width="12.5" bestFit="1" customWidth="1"/>
    <col min="354" max="354" width="3.625" bestFit="1" customWidth="1"/>
    <col min="355" max="355" width="12.5" bestFit="1" customWidth="1"/>
    <col min="356" max="356" width="3.625" bestFit="1" customWidth="1"/>
    <col min="357" max="357" width="12.5" bestFit="1" customWidth="1"/>
    <col min="358" max="358" width="3.625" bestFit="1" customWidth="1"/>
    <col min="359" max="359" width="12.5" bestFit="1" customWidth="1"/>
    <col min="360" max="360" width="3.625" bestFit="1" customWidth="1"/>
    <col min="361" max="361" width="12.5" bestFit="1" customWidth="1"/>
    <col min="362" max="362" width="3.625" bestFit="1" customWidth="1"/>
    <col min="363" max="363" width="12.5" bestFit="1" customWidth="1"/>
    <col min="364" max="364" width="3.625" bestFit="1" customWidth="1"/>
    <col min="365" max="365" width="12.5" bestFit="1" customWidth="1"/>
    <col min="366" max="366" width="3.625" bestFit="1" customWidth="1"/>
    <col min="367" max="367" width="12.5" bestFit="1" customWidth="1"/>
    <col min="368" max="368" width="3.625" bestFit="1" customWidth="1"/>
    <col min="369" max="369" width="12.5" bestFit="1" customWidth="1"/>
    <col min="370" max="370" width="3.625" bestFit="1" customWidth="1"/>
    <col min="371" max="371" width="12.5" bestFit="1" customWidth="1"/>
    <col min="372" max="372" width="3.625" bestFit="1" customWidth="1"/>
    <col min="373" max="373" width="12.5" bestFit="1" customWidth="1"/>
    <col min="374" max="374" width="3.625" bestFit="1" customWidth="1"/>
    <col min="375" max="375" width="12.5" bestFit="1" customWidth="1"/>
    <col min="376" max="376" width="3.625" bestFit="1" customWidth="1"/>
    <col min="377" max="377" width="12.5" bestFit="1" customWidth="1"/>
    <col min="378" max="378" width="3.625" bestFit="1" customWidth="1"/>
    <col min="379" max="379" width="12.5" bestFit="1" customWidth="1"/>
    <col min="380" max="380" width="3.625" bestFit="1" customWidth="1"/>
    <col min="381" max="381" width="12.5" bestFit="1" customWidth="1"/>
    <col min="382" max="382" width="3.625" bestFit="1" customWidth="1"/>
    <col min="383" max="383" width="12.5" bestFit="1" customWidth="1"/>
    <col min="384" max="384" width="3.625" bestFit="1" customWidth="1"/>
    <col min="385" max="385" width="12.5" bestFit="1" customWidth="1"/>
    <col min="386" max="386" width="3.625" bestFit="1" customWidth="1"/>
    <col min="387" max="387" width="12.5" bestFit="1" customWidth="1"/>
    <col min="388" max="388" width="3.625" bestFit="1" customWidth="1"/>
    <col min="389" max="389" width="12.5" bestFit="1" customWidth="1"/>
    <col min="390" max="390" width="3.625" bestFit="1" customWidth="1"/>
    <col min="391" max="391" width="12.5" bestFit="1" customWidth="1"/>
    <col min="392" max="392" width="3.625" bestFit="1" customWidth="1"/>
    <col min="393" max="393" width="12.5" bestFit="1" customWidth="1"/>
    <col min="394" max="394" width="3.625" bestFit="1" customWidth="1"/>
    <col min="395" max="395" width="12.5" bestFit="1" customWidth="1"/>
    <col min="396" max="396" width="3.625" bestFit="1" customWidth="1"/>
    <col min="397" max="397" width="12.5" bestFit="1" customWidth="1"/>
    <col min="398" max="398" width="3.625" bestFit="1" customWidth="1"/>
    <col min="399" max="399" width="12.5" bestFit="1" customWidth="1"/>
    <col min="400" max="400" width="3.625" bestFit="1" customWidth="1"/>
    <col min="401" max="401" width="12.5" bestFit="1" customWidth="1"/>
    <col min="402" max="402" width="3.625" bestFit="1" customWidth="1"/>
    <col min="403" max="403" width="12.5" bestFit="1" customWidth="1"/>
    <col min="404" max="404" width="3.625" bestFit="1" customWidth="1"/>
    <col min="405" max="405" width="12.5" bestFit="1" customWidth="1"/>
    <col min="406" max="406" width="3.625" bestFit="1" customWidth="1"/>
    <col min="407" max="407" width="12.5" bestFit="1" customWidth="1"/>
    <col min="408" max="408" width="3.625" bestFit="1" customWidth="1"/>
    <col min="409" max="409" width="12.5" bestFit="1" customWidth="1"/>
    <col min="410" max="410" width="3.625" bestFit="1" customWidth="1"/>
    <col min="411" max="411" width="12.5" bestFit="1" customWidth="1"/>
    <col min="412" max="412" width="3.625" bestFit="1" customWidth="1"/>
    <col min="413" max="413" width="12.5" bestFit="1" customWidth="1"/>
    <col min="414" max="414" width="3.625" bestFit="1" customWidth="1"/>
    <col min="415" max="415" width="12.5" bestFit="1" customWidth="1"/>
    <col min="416" max="416" width="3.625" bestFit="1" customWidth="1"/>
    <col min="417" max="417" width="12.5" bestFit="1" customWidth="1"/>
    <col min="418" max="418" width="3.625" bestFit="1" customWidth="1"/>
    <col min="419" max="419" width="12.5" bestFit="1" customWidth="1"/>
    <col min="420" max="420" width="3.625" bestFit="1" customWidth="1"/>
    <col min="421" max="421" width="12.5" bestFit="1" customWidth="1"/>
    <col min="422" max="422" width="3.625" bestFit="1" customWidth="1"/>
    <col min="423" max="423" width="12.5" bestFit="1" customWidth="1"/>
    <col min="424" max="424" width="3.625" bestFit="1" customWidth="1"/>
    <col min="425" max="425" width="12.5" bestFit="1" customWidth="1"/>
    <col min="426" max="426" width="3.625" bestFit="1" customWidth="1"/>
    <col min="427" max="427" width="12.5" bestFit="1" customWidth="1"/>
    <col min="428" max="428" width="3.625" bestFit="1" customWidth="1"/>
    <col min="429" max="429" width="12.5" bestFit="1" customWidth="1"/>
    <col min="430" max="430" width="3.625" bestFit="1" customWidth="1"/>
    <col min="431" max="431" width="12.5" bestFit="1" customWidth="1"/>
    <col min="432" max="432" width="3.625" bestFit="1" customWidth="1"/>
    <col min="433" max="433" width="12.5" bestFit="1" customWidth="1"/>
    <col min="434" max="434" width="3.625" bestFit="1" customWidth="1"/>
    <col min="435" max="435" width="12.5" bestFit="1" customWidth="1"/>
    <col min="436" max="436" width="3.625" bestFit="1" customWidth="1"/>
    <col min="437" max="437" width="12.5" bestFit="1" customWidth="1"/>
    <col min="438" max="438" width="3.625" bestFit="1" customWidth="1"/>
    <col min="439" max="439" width="12.5" bestFit="1" customWidth="1"/>
    <col min="440" max="440" width="3.625" bestFit="1" customWidth="1"/>
    <col min="441" max="441" width="12.5" bestFit="1" customWidth="1"/>
    <col min="442" max="442" width="3.625" bestFit="1" customWidth="1"/>
    <col min="443" max="443" width="12.5" bestFit="1" customWidth="1"/>
    <col min="444" max="444" width="3.625" bestFit="1" customWidth="1"/>
    <col min="445" max="445" width="12.5" bestFit="1" customWidth="1"/>
    <col min="446" max="446" width="3.625" bestFit="1" customWidth="1"/>
    <col min="447" max="447" width="12.5" bestFit="1" customWidth="1"/>
    <col min="448" max="448" width="3.625" bestFit="1" customWidth="1"/>
    <col min="449" max="449" width="12.5" bestFit="1" customWidth="1"/>
    <col min="450" max="450" width="3.625" bestFit="1" customWidth="1"/>
    <col min="451" max="451" width="12.5" bestFit="1" customWidth="1"/>
    <col min="452" max="452" width="3.625" bestFit="1" customWidth="1"/>
    <col min="453" max="453" width="12.5" bestFit="1" customWidth="1"/>
    <col min="454" max="454" width="3.625" bestFit="1" customWidth="1"/>
    <col min="455" max="455" width="12.5" bestFit="1" customWidth="1"/>
    <col min="456" max="456" width="3.625" bestFit="1" customWidth="1"/>
    <col min="457" max="457" width="12.5" bestFit="1" customWidth="1"/>
    <col min="458" max="458" width="3.625" bestFit="1" customWidth="1"/>
    <col min="459" max="459" width="12.5" bestFit="1" customWidth="1"/>
    <col min="460" max="460" width="3.625" bestFit="1" customWidth="1"/>
    <col min="461" max="461" width="12.5" bestFit="1" customWidth="1"/>
    <col min="462" max="462" width="3.625" bestFit="1" customWidth="1"/>
    <col min="463" max="463" width="12.5" bestFit="1" customWidth="1"/>
    <col min="464" max="464" width="3.625" bestFit="1" customWidth="1"/>
    <col min="465" max="465" width="12.5" bestFit="1" customWidth="1"/>
    <col min="466" max="466" width="3.625" bestFit="1" customWidth="1"/>
    <col min="467" max="467" width="12.5" bestFit="1" customWidth="1"/>
    <col min="468" max="468" width="3.625" bestFit="1" customWidth="1"/>
    <col min="469" max="469" width="12.5" bestFit="1" customWidth="1"/>
    <col min="470" max="470" width="3.625" bestFit="1" customWidth="1"/>
    <col min="471" max="471" width="12.5" bestFit="1" customWidth="1"/>
    <col min="472" max="472" width="3.625" bestFit="1" customWidth="1"/>
    <col min="473" max="473" width="12.5" bestFit="1" customWidth="1"/>
    <col min="474" max="474" width="3.625" bestFit="1" customWidth="1"/>
    <col min="475" max="475" width="12.5" bestFit="1" customWidth="1"/>
    <col min="476" max="476" width="3.625" bestFit="1" customWidth="1"/>
    <col min="477" max="477" width="12.5" bestFit="1" customWidth="1"/>
    <col min="478" max="478" width="3.625" bestFit="1" customWidth="1"/>
    <col min="479" max="479" width="12.5" bestFit="1" customWidth="1"/>
    <col min="480" max="480" width="3.625" bestFit="1" customWidth="1"/>
    <col min="481" max="481" width="12.5" bestFit="1" customWidth="1"/>
    <col min="482" max="482" width="3.625" bestFit="1" customWidth="1"/>
    <col min="483" max="483" width="12.5" bestFit="1" customWidth="1"/>
    <col min="484" max="484" width="3.625" bestFit="1" customWidth="1"/>
    <col min="485" max="485" width="12.5" bestFit="1" customWidth="1"/>
    <col min="486" max="486" width="3.625" bestFit="1" customWidth="1"/>
    <col min="487" max="487" width="12.5" bestFit="1" customWidth="1"/>
    <col min="488" max="488" width="3.625" bestFit="1" customWidth="1"/>
    <col min="489" max="489" width="12.5" bestFit="1" customWidth="1"/>
    <col min="490" max="490" width="3.625" bestFit="1" customWidth="1"/>
    <col min="491" max="491" width="12.5" bestFit="1" customWidth="1"/>
    <col min="492" max="492" width="3.625" bestFit="1" customWidth="1"/>
    <col min="493" max="493" width="12.5" bestFit="1" customWidth="1"/>
    <col min="494" max="494" width="3.625" bestFit="1" customWidth="1"/>
    <col min="495" max="495" width="12.5" bestFit="1" customWidth="1"/>
    <col min="496" max="496" width="3.625" bestFit="1" customWidth="1"/>
    <col min="497" max="497" width="12.5" bestFit="1" customWidth="1"/>
    <col min="498" max="498" width="3.625" bestFit="1" customWidth="1"/>
    <col min="499" max="499" width="12.5" bestFit="1" customWidth="1"/>
    <col min="500" max="500" width="3.625" bestFit="1" customWidth="1"/>
    <col min="501" max="501" width="12.5" bestFit="1" customWidth="1"/>
    <col min="502" max="502" width="3.625" bestFit="1" customWidth="1"/>
    <col min="503" max="503" width="12.5" bestFit="1" customWidth="1"/>
    <col min="504" max="504" width="3.625" bestFit="1" customWidth="1"/>
    <col min="505" max="505" width="12.5" bestFit="1" customWidth="1"/>
    <col min="506" max="506" width="3.625" bestFit="1" customWidth="1"/>
    <col min="507" max="507" width="12.5" bestFit="1" customWidth="1"/>
    <col min="508" max="508" width="3.625" bestFit="1" customWidth="1"/>
    <col min="509" max="509" width="12.5" bestFit="1" customWidth="1"/>
    <col min="510" max="510" width="3.625" bestFit="1" customWidth="1"/>
    <col min="511" max="511" width="12.5" bestFit="1" customWidth="1"/>
    <col min="512" max="512" width="3.625" bestFit="1" customWidth="1"/>
    <col min="513" max="513" width="12.5" bestFit="1" customWidth="1"/>
    <col min="514" max="514" width="3.625" bestFit="1" customWidth="1"/>
    <col min="515" max="515" width="12.5" bestFit="1" customWidth="1"/>
    <col min="516" max="516" width="3.625" bestFit="1" customWidth="1"/>
    <col min="517" max="517" width="12.5" bestFit="1" customWidth="1"/>
    <col min="518" max="518" width="3.625" bestFit="1" customWidth="1"/>
    <col min="519" max="519" width="12.5" bestFit="1" customWidth="1"/>
    <col min="520" max="520" width="3.625" bestFit="1" customWidth="1"/>
    <col min="521" max="521" width="12.5" bestFit="1" customWidth="1"/>
    <col min="522" max="522" width="3.625" bestFit="1" customWidth="1"/>
    <col min="523" max="523" width="12.5" bestFit="1" customWidth="1"/>
    <col min="524" max="524" width="3.625" bestFit="1" customWidth="1"/>
    <col min="525" max="525" width="12.5" bestFit="1" customWidth="1"/>
    <col min="526" max="526" width="3.625" bestFit="1" customWidth="1"/>
    <col min="527" max="527" width="12.5" bestFit="1" customWidth="1"/>
    <col min="528" max="528" width="3.625" bestFit="1" customWidth="1"/>
    <col min="529" max="529" width="12.5" bestFit="1" customWidth="1"/>
    <col min="530" max="530" width="3.625" bestFit="1" customWidth="1"/>
    <col min="531" max="531" width="12.5" bestFit="1" customWidth="1"/>
    <col min="532" max="532" width="3.625" bestFit="1" customWidth="1"/>
    <col min="533" max="533" width="12.5" bestFit="1" customWidth="1"/>
    <col min="534" max="534" width="3.625" bestFit="1" customWidth="1"/>
    <col min="535" max="535" width="12.5" bestFit="1" customWidth="1"/>
    <col min="536" max="536" width="3.625" bestFit="1" customWidth="1"/>
    <col min="537" max="537" width="12.5" bestFit="1" customWidth="1"/>
    <col min="538" max="538" width="3.625" bestFit="1" customWidth="1"/>
    <col min="539" max="539" width="12.5" bestFit="1" customWidth="1"/>
    <col min="540" max="540" width="3.625" bestFit="1" customWidth="1"/>
    <col min="541" max="541" width="12.5" bestFit="1" customWidth="1"/>
    <col min="542" max="542" width="3.625" bestFit="1" customWidth="1"/>
    <col min="543" max="543" width="12.5" bestFit="1" customWidth="1"/>
    <col min="544" max="544" width="3.625" bestFit="1" customWidth="1"/>
    <col min="545" max="545" width="12.5" bestFit="1" customWidth="1"/>
    <col min="546" max="546" width="3.625" bestFit="1" customWidth="1"/>
    <col min="547" max="547" width="12.5" bestFit="1" customWidth="1"/>
    <col min="548" max="548" width="3.625" bestFit="1" customWidth="1"/>
    <col min="549" max="549" width="12.5" bestFit="1" customWidth="1"/>
    <col min="550" max="550" width="3.625" bestFit="1" customWidth="1"/>
    <col min="551" max="551" width="12.5" bestFit="1" customWidth="1"/>
    <col min="552" max="552" width="3.625" bestFit="1" customWidth="1"/>
    <col min="553" max="553" width="12.5" bestFit="1" customWidth="1"/>
    <col min="554" max="554" width="3.625" bestFit="1" customWidth="1"/>
    <col min="555" max="555" width="12.5" bestFit="1" customWidth="1"/>
    <col min="556" max="556" width="3.625" bestFit="1" customWidth="1"/>
    <col min="557" max="557" width="12.5" bestFit="1" customWidth="1"/>
    <col min="558" max="558" width="3.625" bestFit="1" customWidth="1"/>
    <col min="559" max="559" width="12.5" bestFit="1" customWidth="1"/>
    <col min="560" max="560" width="3.625" bestFit="1" customWidth="1"/>
    <col min="561" max="561" width="12.5" bestFit="1" customWidth="1"/>
    <col min="562" max="562" width="3.625" bestFit="1" customWidth="1"/>
    <col min="563" max="563" width="12.5" bestFit="1" customWidth="1"/>
    <col min="564" max="564" width="3.625" bestFit="1" customWidth="1"/>
    <col min="565" max="565" width="12.5" bestFit="1" customWidth="1"/>
    <col min="566" max="566" width="3.625" bestFit="1" customWidth="1"/>
    <col min="567" max="567" width="12.5" bestFit="1" customWidth="1"/>
    <col min="568" max="568" width="3.625" bestFit="1" customWidth="1"/>
    <col min="569" max="569" width="12.5" bestFit="1" customWidth="1"/>
    <col min="570" max="570" width="3.625" bestFit="1" customWidth="1"/>
    <col min="571" max="571" width="12.5" bestFit="1" customWidth="1"/>
    <col min="572" max="572" width="3.625" bestFit="1" customWidth="1"/>
    <col min="573" max="573" width="12.5" bestFit="1" customWidth="1"/>
    <col min="574" max="574" width="3.625" bestFit="1" customWidth="1"/>
    <col min="575" max="575" width="12.5" bestFit="1" customWidth="1"/>
    <col min="576" max="576" width="3.625" bestFit="1" customWidth="1"/>
    <col min="577" max="577" width="12.5" bestFit="1" customWidth="1"/>
    <col min="578" max="578" width="3.625" bestFit="1" customWidth="1"/>
    <col min="579" max="579" width="12.5" bestFit="1" customWidth="1"/>
    <col min="580" max="580" width="3.625" bestFit="1" customWidth="1"/>
    <col min="581" max="581" width="12.5" bestFit="1" customWidth="1"/>
    <col min="582" max="582" width="3.625" bestFit="1" customWidth="1"/>
    <col min="583" max="583" width="12.5" bestFit="1" customWidth="1"/>
    <col min="584" max="584" width="3.625" bestFit="1" customWidth="1"/>
    <col min="585" max="585" width="12.5" bestFit="1" customWidth="1"/>
    <col min="586" max="586" width="3.625" bestFit="1" customWidth="1"/>
    <col min="587" max="587" width="12.5" bestFit="1" customWidth="1"/>
    <col min="588" max="588" width="3.625" bestFit="1" customWidth="1"/>
    <col min="589" max="589" width="12.5" bestFit="1" customWidth="1"/>
    <col min="590" max="590" width="3.625" bestFit="1" customWidth="1"/>
    <col min="591" max="591" width="12.5" bestFit="1" customWidth="1"/>
    <col min="592" max="592" width="3.625" bestFit="1" customWidth="1"/>
    <col min="593" max="593" width="12.5" bestFit="1" customWidth="1"/>
    <col min="594" max="594" width="3.625" bestFit="1" customWidth="1"/>
    <col min="595" max="595" width="12.5" bestFit="1" customWidth="1"/>
    <col min="596" max="596" width="3.625" bestFit="1" customWidth="1"/>
    <col min="597" max="597" width="12.5" bestFit="1" customWidth="1"/>
    <col min="598" max="598" width="3.625" bestFit="1" customWidth="1"/>
    <col min="599" max="599" width="12.5" bestFit="1" customWidth="1"/>
    <col min="600" max="600" width="3.625" bestFit="1" customWidth="1"/>
    <col min="601" max="601" width="12.5" bestFit="1" customWidth="1"/>
    <col min="602" max="602" width="3.625" bestFit="1" customWidth="1"/>
    <col min="603" max="603" width="12.5" bestFit="1" customWidth="1"/>
    <col min="604" max="604" width="3.625" bestFit="1" customWidth="1"/>
    <col min="605" max="605" width="12.5" bestFit="1" customWidth="1"/>
    <col min="606" max="606" width="3.625" bestFit="1" customWidth="1"/>
    <col min="607" max="607" width="12.5" bestFit="1" customWidth="1"/>
    <col min="608" max="608" width="3.625" bestFit="1" customWidth="1"/>
    <col min="609" max="609" width="12.5" bestFit="1" customWidth="1"/>
    <col min="610" max="610" width="3.625" bestFit="1" customWidth="1"/>
    <col min="611" max="611" width="12.5" bestFit="1" customWidth="1"/>
    <col min="612" max="612" width="3.625" bestFit="1" customWidth="1"/>
    <col min="613" max="613" width="12.5" bestFit="1" customWidth="1"/>
    <col min="614" max="614" width="3.625" bestFit="1" customWidth="1"/>
    <col min="615" max="615" width="12.5" bestFit="1" customWidth="1"/>
    <col min="616" max="616" width="3.625" bestFit="1" customWidth="1"/>
    <col min="617" max="617" width="12.5" bestFit="1" customWidth="1"/>
    <col min="618" max="618" width="3.625" bestFit="1" customWidth="1"/>
    <col min="619" max="619" width="12.5" bestFit="1" customWidth="1"/>
    <col min="620" max="620" width="3.625" bestFit="1" customWidth="1"/>
    <col min="621" max="621" width="12.5" bestFit="1" customWidth="1"/>
    <col min="622" max="622" width="3.625" bestFit="1" customWidth="1"/>
    <col min="623" max="623" width="12.5" bestFit="1" customWidth="1"/>
    <col min="624" max="624" width="3.625" bestFit="1" customWidth="1"/>
    <col min="625" max="625" width="12.5" bestFit="1" customWidth="1"/>
    <col min="626" max="626" width="3.625" bestFit="1" customWidth="1"/>
    <col min="627" max="627" width="12.5" bestFit="1" customWidth="1"/>
    <col min="628" max="628" width="3.625" bestFit="1" customWidth="1"/>
    <col min="629" max="629" width="12.5" bestFit="1" customWidth="1"/>
    <col min="630" max="630" width="3.625" bestFit="1" customWidth="1"/>
    <col min="631" max="631" width="12.5" bestFit="1" customWidth="1"/>
    <col min="632" max="632" width="3.625" bestFit="1" customWidth="1"/>
    <col min="633" max="633" width="12.5" bestFit="1" customWidth="1"/>
    <col min="634" max="634" width="3.625" bestFit="1" customWidth="1"/>
    <col min="635" max="635" width="12.5" bestFit="1" customWidth="1"/>
    <col min="636" max="636" width="3.625" bestFit="1" customWidth="1"/>
    <col min="637" max="637" width="12.5" bestFit="1" customWidth="1"/>
    <col min="638" max="638" width="3.625" bestFit="1" customWidth="1"/>
    <col min="639" max="639" width="12.5" bestFit="1" customWidth="1"/>
    <col min="640" max="640" width="3.625" bestFit="1" customWidth="1"/>
    <col min="641" max="641" width="12.5" bestFit="1" customWidth="1"/>
    <col min="642" max="642" width="3.625" bestFit="1" customWidth="1"/>
    <col min="643" max="643" width="12.5" bestFit="1" customWidth="1"/>
    <col min="644" max="644" width="3.625" bestFit="1" customWidth="1"/>
    <col min="645" max="645" width="12.5" bestFit="1" customWidth="1"/>
    <col min="646" max="646" width="3.625" bestFit="1" customWidth="1"/>
    <col min="647" max="647" width="12.5" bestFit="1" customWidth="1"/>
    <col min="648" max="648" width="3.625" bestFit="1" customWidth="1"/>
    <col min="649" max="649" width="12.5" bestFit="1" customWidth="1"/>
    <col min="650" max="650" width="3.625" bestFit="1" customWidth="1"/>
    <col min="651" max="651" width="12.5" bestFit="1" customWidth="1"/>
    <col min="652" max="652" width="3.625" bestFit="1" customWidth="1"/>
    <col min="653" max="653" width="12.5" bestFit="1" customWidth="1"/>
    <col min="654" max="654" width="3.625" bestFit="1" customWidth="1"/>
    <col min="655" max="655" width="12.5" bestFit="1" customWidth="1"/>
    <col min="656" max="656" width="3.625" bestFit="1" customWidth="1"/>
    <col min="657" max="657" width="12.5" bestFit="1" customWidth="1"/>
    <col min="658" max="658" width="3.625" bestFit="1" customWidth="1"/>
    <col min="659" max="659" width="12.5" bestFit="1" customWidth="1"/>
    <col min="660" max="660" width="3.625" bestFit="1" customWidth="1"/>
    <col min="661" max="661" width="12.5" bestFit="1" customWidth="1"/>
    <col min="662" max="662" width="3.625" bestFit="1" customWidth="1"/>
    <col min="663" max="663" width="12.5" bestFit="1" customWidth="1"/>
    <col min="664" max="664" width="3.625" bestFit="1" customWidth="1"/>
    <col min="665" max="665" width="12.5" bestFit="1" customWidth="1"/>
    <col min="666" max="666" width="3.625" bestFit="1" customWidth="1"/>
    <col min="667" max="667" width="12.5" bestFit="1" customWidth="1"/>
    <col min="668" max="668" width="3.625" bestFit="1" customWidth="1"/>
    <col min="669" max="669" width="12.5" bestFit="1" customWidth="1"/>
    <col min="670" max="670" width="3.625" bestFit="1" customWidth="1"/>
    <col min="671" max="671" width="12.5" bestFit="1" customWidth="1"/>
    <col min="672" max="672" width="3.625" bestFit="1" customWidth="1"/>
    <col min="673" max="673" width="12.5" bestFit="1" customWidth="1"/>
    <col min="674" max="674" width="3.625" bestFit="1" customWidth="1"/>
    <col min="675" max="675" width="12.5" bestFit="1" customWidth="1"/>
    <col min="676" max="676" width="3.625" bestFit="1" customWidth="1"/>
    <col min="677" max="677" width="12.5" bestFit="1" customWidth="1"/>
    <col min="678" max="678" width="3.625" bestFit="1" customWidth="1"/>
    <col min="679" max="679" width="12.5" bestFit="1" customWidth="1"/>
    <col min="680" max="680" width="3.625" bestFit="1" customWidth="1"/>
    <col min="681" max="681" width="12.5" bestFit="1" customWidth="1"/>
    <col min="682" max="682" width="3.625" bestFit="1" customWidth="1"/>
    <col min="683" max="683" width="12.5" bestFit="1" customWidth="1"/>
    <col min="684" max="684" width="3.625" bestFit="1" customWidth="1"/>
    <col min="685" max="685" width="12.5" bestFit="1" customWidth="1"/>
    <col min="686" max="686" width="3.625" bestFit="1" customWidth="1"/>
    <col min="687" max="687" width="12.5" bestFit="1" customWidth="1"/>
    <col min="688" max="688" width="3.625" bestFit="1" customWidth="1"/>
    <col min="689" max="689" width="12.5" bestFit="1" customWidth="1"/>
    <col min="690" max="690" width="3.625" bestFit="1" customWidth="1"/>
    <col min="691" max="691" width="12.5" bestFit="1" customWidth="1"/>
    <col min="692" max="692" width="3.625" bestFit="1" customWidth="1"/>
    <col min="693" max="693" width="12.5" bestFit="1" customWidth="1"/>
    <col min="694" max="694" width="3.625" bestFit="1" customWidth="1"/>
    <col min="695" max="695" width="12.5" bestFit="1" customWidth="1"/>
    <col min="696" max="696" width="3.625" bestFit="1" customWidth="1"/>
    <col min="697" max="697" width="12.5" bestFit="1" customWidth="1"/>
    <col min="698" max="698" width="3.625" bestFit="1" customWidth="1"/>
    <col min="699" max="699" width="12.5" bestFit="1" customWidth="1"/>
    <col min="700" max="700" width="3.625" bestFit="1" customWidth="1"/>
    <col min="701" max="701" width="12.5" bestFit="1" customWidth="1"/>
    <col min="702" max="702" width="3.625" bestFit="1" customWidth="1"/>
    <col min="703" max="703" width="12.5" bestFit="1" customWidth="1"/>
    <col min="704" max="704" width="3.625" bestFit="1" customWidth="1"/>
    <col min="705" max="705" width="12.5" bestFit="1" customWidth="1"/>
    <col min="706" max="706" width="3.625" bestFit="1" customWidth="1"/>
    <col min="707" max="707" width="12.5" bestFit="1" customWidth="1"/>
    <col min="708" max="708" width="3.625" bestFit="1" customWidth="1"/>
    <col min="709" max="709" width="12.5" bestFit="1" customWidth="1"/>
    <col min="710" max="710" width="3.625" bestFit="1" customWidth="1"/>
    <col min="711" max="711" width="12.5" bestFit="1" customWidth="1"/>
    <col min="712" max="712" width="3.625" bestFit="1" customWidth="1"/>
    <col min="713" max="713" width="12.5" bestFit="1" customWidth="1"/>
    <col min="714" max="714" width="3.625" bestFit="1" customWidth="1"/>
    <col min="715" max="715" width="12.5" bestFit="1" customWidth="1"/>
    <col min="716" max="716" width="3.625" bestFit="1" customWidth="1"/>
    <col min="717" max="717" width="12.5" bestFit="1" customWidth="1"/>
    <col min="718" max="718" width="3.625" bestFit="1" customWidth="1"/>
    <col min="719" max="719" width="12.5" bestFit="1" customWidth="1"/>
    <col min="720" max="720" width="3.625" bestFit="1" customWidth="1"/>
    <col min="721" max="721" width="12.5" bestFit="1" customWidth="1"/>
    <col min="722" max="722" width="3.625" bestFit="1" customWidth="1"/>
    <col min="723" max="723" width="12.5" bestFit="1" customWidth="1"/>
    <col min="724" max="724" width="3.625" bestFit="1" customWidth="1"/>
    <col min="725" max="725" width="12.5" bestFit="1" customWidth="1"/>
    <col min="726" max="726" width="3.625" bestFit="1" customWidth="1"/>
    <col min="727" max="727" width="12.5" bestFit="1" customWidth="1"/>
    <col min="728" max="728" width="3.625" bestFit="1" customWidth="1"/>
    <col min="729" max="729" width="12.5" bestFit="1" customWidth="1"/>
    <col min="730" max="730" width="3.625" bestFit="1" customWidth="1"/>
    <col min="731" max="731" width="12.5" bestFit="1" customWidth="1"/>
    <col min="732" max="732" width="3.625" bestFit="1" customWidth="1"/>
    <col min="733" max="733" width="12.5" bestFit="1" customWidth="1"/>
    <col min="734" max="734" width="3.625" bestFit="1" customWidth="1"/>
    <col min="735" max="735" width="12.5" bestFit="1" customWidth="1"/>
    <col min="736" max="736" width="3.625" bestFit="1" customWidth="1"/>
    <col min="737" max="737" width="12.5" bestFit="1" customWidth="1"/>
  </cols>
  <sheetData>
    <row r="1" spans="1:752" s="4" customFormat="1" x14ac:dyDescent="0.3">
      <c r="A1" s="39" t="s">
        <v>57</v>
      </c>
      <c r="B1" s="41" t="s">
        <v>68</v>
      </c>
      <c r="E1" s="8"/>
      <c r="F1" s="8"/>
      <c r="G1" s="8"/>
    </row>
    <row r="2" spans="1:752" s="5" customFormat="1" x14ac:dyDescent="0.3">
      <c r="A2" s="40"/>
      <c r="B2" s="42"/>
      <c r="E2" s="9"/>
      <c r="F2" s="9"/>
      <c r="G2" s="9"/>
    </row>
    <row r="3" spans="1:752" s="12" customFormat="1" ht="17.25" thickBot="1" x14ac:dyDescent="0.35">
      <c r="A3" s="40"/>
      <c r="B3" s="42"/>
      <c r="C3" s="5"/>
      <c r="D3" s="5"/>
      <c r="E3" s="9"/>
      <c r="F3" s="9"/>
      <c r="G3" s="9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</row>
    <row r="4" spans="1:752" x14ac:dyDescent="0.3">
      <c r="A4" s="43" t="s">
        <v>69</v>
      </c>
      <c r="B4" s="44"/>
      <c r="C4" s="44"/>
      <c r="D4" s="44"/>
      <c r="E4" s="45" t="s">
        <v>70</v>
      </c>
      <c r="F4" s="46"/>
      <c r="G4" s="46"/>
      <c r="H4" s="13" t="s">
        <v>67</v>
      </c>
      <c r="I4" s="14">
        <v>44197</v>
      </c>
      <c r="J4" s="13" t="s">
        <v>61</v>
      </c>
      <c r="K4" s="14">
        <v>44198</v>
      </c>
      <c r="L4" s="13" t="s">
        <v>62</v>
      </c>
      <c r="M4" s="14">
        <v>44199</v>
      </c>
      <c r="N4" s="13" t="s">
        <v>63</v>
      </c>
      <c r="O4" s="14">
        <v>44200</v>
      </c>
      <c r="P4" s="13" t="s">
        <v>64</v>
      </c>
      <c r="Q4" s="14">
        <v>44201</v>
      </c>
      <c r="R4" s="13" t="s">
        <v>65</v>
      </c>
      <c r="S4" s="14">
        <v>44202</v>
      </c>
      <c r="T4" s="13" t="s">
        <v>66</v>
      </c>
      <c r="U4" s="14">
        <v>44203</v>
      </c>
      <c r="V4" s="13" t="s">
        <v>67</v>
      </c>
      <c r="W4" s="14">
        <v>44204</v>
      </c>
      <c r="X4" s="13" t="s">
        <v>61</v>
      </c>
      <c r="Y4" s="14">
        <v>44205</v>
      </c>
      <c r="Z4" s="13" t="s">
        <v>62</v>
      </c>
      <c r="AA4" s="14">
        <v>44206</v>
      </c>
      <c r="AB4" s="13" t="s">
        <v>63</v>
      </c>
      <c r="AC4" s="14">
        <v>44207</v>
      </c>
      <c r="AD4" s="13" t="s">
        <v>64</v>
      </c>
      <c r="AE4" s="14">
        <v>44208</v>
      </c>
      <c r="AF4" s="13" t="s">
        <v>65</v>
      </c>
      <c r="AG4" s="14">
        <v>44209</v>
      </c>
      <c r="AH4" s="13" t="s">
        <v>66</v>
      </c>
      <c r="AI4" s="14">
        <v>44210</v>
      </c>
      <c r="AJ4" s="13" t="s">
        <v>67</v>
      </c>
      <c r="AK4" s="14">
        <v>44211</v>
      </c>
      <c r="AL4" s="13" t="s">
        <v>61</v>
      </c>
      <c r="AM4" s="14">
        <v>44212</v>
      </c>
      <c r="AN4" s="13" t="s">
        <v>62</v>
      </c>
      <c r="AO4" s="14">
        <v>44213</v>
      </c>
      <c r="AP4" s="13" t="s">
        <v>63</v>
      </c>
      <c r="AQ4" s="14">
        <v>44214</v>
      </c>
      <c r="AR4" s="13" t="s">
        <v>64</v>
      </c>
      <c r="AS4" s="14">
        <v>44215</v>
      </c>
      <c r="AT4" s="13" t="s">
        <v>65</v>
      </c>
      <c r="AU4" s="14">
        <v>44216</v>
      </c>
      <c r="AV4" s="13" t="s">
        <v>66</v>
      </c>
      <c r="AW4" s="14">
        <v>44217</v>
      </c>
      <c r="AX4" s="13" t="s">
        <v>67</v>
      </c>
      <c r="AY4" s="14">
        <v>44218</v>
      </c>
      <c r="AZ4" s="13" t="s">
        <v>61</v>
      </c>
      <c r="BA4" s="14">
        <v>44219</v>
      </c>
      <c r="BB4" s="13" t="s">
        <v>62</v>
      </c>
      <c r="BC4" s="14">
        <v>44220</v>
      </c>
      <c r="BD4" s="13" t="s">
        <v>63</v>
      </c>
      <c r="BE4" s="14">
        <v>44221</v>
      </c>
      <c r="BF4" s="13" t="s">
        <v>64</v>
      </c>
      <c r="BG4" s="14">
        <v>44222</v>
      </c>
      <c r="BH4" s="13" t="s">
        <v>65</v>
      </c>
      <c r="BI4" s="14">
        <v>44223</v>
      </c>
      <c r="BJ4" s="13" t="s">
        <v>66</v>
      </c>
      <c r="BK4" s="14">
        <v>44224</v>
      </c>
      <c r="BL4" s="13" t="s">
        <v>67</v>
      </c>
      <c r="BM4" s="14">
        <v>44225</v>
      </c>
      <c r="BN4" s="13" t="s">
        <v>61</v>
      </c>
      <c r="BO4" s="14">
        <v>44226</v>
      </c>
      <c r="BP4" s="13" t="s">
        <v>62</v>
      </c>
      <c r="BQ4" s="14">
        <v>44227</v>
      </c>
      <c r="BR4" s="13" t="s">
        <v>63</v>
      </c>
      <c r="BS4" s="14">
        <v>44228</v>
      </c>
      <c r="BT4" s="13" t="s">
        <v>64</v>
      </c>
      <c r="BU4" s="14">
        <v>44229</v>
      </c>
      <c r="BV4" s="13" t="s">
        <v>65</v>
      </c>
      <c r="BW4" s="14">
        <v>44230</v>
      </c>
      <c r="BX4" s="13" t="s">
        <v>66</v>
      </c>
      <c r="BY4" s="14">
        <v>44231</v>
      </c>
      <c r="BZ4" s="13" t="s">
        <v>67</v>
      </c>
      <c r="CA4" s="14">
        <v>44232</v>
      </c>
      <c r="CB4" s="13" t="s">
        <v>61</v>
      </c>
      <c r="CC4" s="14">
        <v>44233</v>
      </c>
      <c r="CD4" s="13" t="s">
        <v>62</v>
      </c>
      <c r="CE4" s="14">
        <v>44234</v>
      </c>
      <c r="CF4" s="13" t="s">
        <v>63</v>
      </c>
      <c r="CG4" s="14">
        <v>44235</v>
      </c>
      <c r="CH4" s="13" t="s">
        <v>64</v>
      </c>
      <c r="CI4" s="14">
        <v>44236</v>
      </c>
      <c r="CJ4" s="13" t="s">
        <v>65</v>
      </c>
      <c r="CK4" s="14">
        <v>44237</v>
      </c>
      <c r="CL4" s="13" t="s">
        <v>66</v>
      </c>
      <c r="CM4" s="14">
        <v>44238</v>
      </c>
      <c r="CN4" s="13" t="s">
        <v>67</v>
      </c>
      <c r="CO4" s="14">
        <v>44239</v>
      </c>
      <c r="CP4" s="13" t="s">
        <v>61</v>
      </c>
      <c r="CQ4" s="14">
        <v>44240</v>
      </c>
      <c r="CR4" s="13" t="s">
        <v>62</v>
      </c>
      <c r="CS4" s="14">
        <v>44241</v>
      </c>
      <c r="CT4" s="13" t="s">
        <v>63</v>
      </c>
      <c r="CU4" s="14">
        <v>44242</v>
      </c>
      <c r="CV4" s="13" t="s">
        <v>64</v>
      </c>
      <c r="CW4" s="14">
        <v>44243</v>
      </c>
      <c r="CX4" s="13" t="s">
        <v>65</v>
      </c>
      <c r="CY4" s="14">
        <v>44244</v>
      </c>
      <c r="CZ4" s="13" t="s">
        <v>66</v>
      </c>
      <c r="DA4" s="14">
        <v>44245</v>
      </c>
      <c r="DB4" s="13" t="s">
        <v>67</v>
      </c>
      <c r="DC4" s="14">
        <v>44246</v>
      </c>
      <c r="DD4" s="13" t="s">
        <v>61</v>
      </c>
      <c r="DE4" s="14">
        <v>44247</v>
      </c>
      <c r="DF4" s="13" t="s">
        <v>62</v>
      </c>
      <c r="DG4" s="14">
        <v>44248</v>
      </c>
      <c r="DH4" s="13" t="s">
        <v>63</v>
      </c>
      <c r="DI4" s="14">
        <v>44249</v>
      </c>
      <c r="DJ4" s="13" t="s">
        <v>64</v>
      </c>
      <c r="DK4" s="14">
        <v>44250</v>
      </c>
      <c r="DL4" s="13" t="s">
        <v>65</v>
      </c>
      <c r="DM4" s="14">
        <v>44251</v>
      </c>
      <c r="DN4" s="13" t="s">
        <v>66</v>
      </c>
      <c r="DO4" s="14">
        <v>44252</v>
      </c>
      <c r="DP4" s="13" t="s">
        <v>67</v>
      </c>
      <c r="DQ4" s="14">
        <v>44253</v>
      </c>
      <c r="DR4" s="13" t="s">
        <v>61</v>
      </c>
      <c r="DS4" s="14">
        <v>44254</v>
      </c>
      <c r="DT4" s="13" t="s">
        <v>62</v>
      </c>
      <c r="DU4" s="14">
        <v>44255</v>
      </c>
      <c r="DV4" s="13" t="s">
        <v>63</v>
      </c>
      <c r="DW4" s="14">
        <v>44256</v>
      </c>
      <c r="DX4" s="13" t="s">
        <v>64</v>
      </c>
      <c r="DY4" s="14">
        <v>44257</v>
      </c>
      <c r="DZ4" s="13" t="s">
        <v>65</v>
      </c>
      <c r="EA4" s="14">
        <v>44258</v>
      </c>
      <c r="EB4" s="13" t="s">
        <v>66</v>
      </c>
      <c r="EC4" s="14">
        <v>44259</v>
      </c>
      <c r="ED4" s="13" t="s">
        <v>67</v>
      </c>
      <c r="EE4" s="14">
        <v>44260</v>
      </c>
      <c r="EF4" s="13" t="s">
        <v>61</v>
      </c>
      <c r="EG4" s="14">
        <v>44261</v>
      </c>
      <c r="EH4" s="13" t="s">
        <v>62</v>
      </c>
      <c r="EI4" s="14">
        <v>44262</v>
      </c>
      <c r="EJ4" s="13" t="s">
        <v>63</v>
      </c>
      <c r="EK4" s="14">
        <v>44263</v>
      </c>
      <c r="EL4" s="13" t="s">
        <v>64</v>
      </c>
      <c r="EM4" s="14">
        <v>44264</v>
      </c>
      <c r="EN4" s="13" t="s">
        <v>65</v>
      </c>
      <c r="EO4" s="14">
        <v>44265</v>
      </c>
      <c r="EP4" s="13" t="s">
        <v>66</v>
      </c>
      <c r="EQ4" s="14">
        <v>44266</v>
      </c>
      <c r="ER4" s="13" t="s">
        <v>67</v>
      </c>
      <c r="ES4" s="14">
        <v>44267</v>
      </c>
      <c r="ET4" s="13" t="s">
        <v>61</v>
      </c>
      <c r="EU4" s="14">
        <v>44268</v>
      </c>
      <c r="EV4" s="13" t="s">
        <v>62</v>
      </c>
      <c r="EW4" s="14">
        <v>44269</v>
      </c>
      <c r="EX4" s="13" t="s">
        <v>63</v>
      </c>
      <c r="EY4" s="14">
        <v>44270</v>
      </c>
      <c r="EZ4" s="13" t="s">
        <v>64</v>
      </c>
      <c r="FA4" s="14">
        <v>44271</v>
      </c>
      <c r="FB4" s="13" t="s">
        <v>65</v>
      </c>
      <c r="FC4" s="14">
        <v>44272</v>
      </c>
      <c r="FD4" s="13" t="s">
        <v>66</v>
      </c>
      <c r="FE4" s="14">
        <v>44273</v>
      </c>
      <c r="FF4" s="13" t="s">
        <v>67</v>
      </c>
      <c r="FG4" s="14">
        <v>44274</v>
      </c>
      <c r="FH4" s="13" t="s">
        <v>61</v>
      </c>
      <c r="FI4" s="14">
        <v>44275</v>
      </c>
      <c r="FJ4" s="13" t="s">
        <v>62</v>
      </c>
      <c r="FK4" s="14">
        <v>44276</v>
      </c>
      <c r="FL4" s="13" t="s">
        <v>63</v>
      </c>
      <c r="FM4" s="14">
        <v>44277</v>
      </c>
      <c r="FN4" s="13" t="s">
        <v>64</v>
      </c>
      <c r="FO4" s="14">
        <v>44278</v>
      </c>
      <c r="FP4" s="13" t="s">
        <v>65</v>
      </c>
      <c r="FQ4" s="14">
        <v>44279</v>
      </c>
      <c r="FR4" s="13" t="s">
        <v>66</v>
      </c>
      <c r="FS4" s="14">
        <v>44280</v>
      </c>
      <c r="FT4" s="13" t="s">
        <v>67</v>
      </c>
      <c r="FU4" s="14">
        <v>44281</v>
      </c>
      <c r="FV4" s="13" t="s">
        <v>61</v>
      </c>
      <c r="FW4" s="14">
        <v>44282</v>
      </c>
      <c r="FX4" s="13" t="s">
        <v>62</v>
      </c>
      <c r="FY4" s="14">
        <v>44283</v>
      </c>
      <c r="FZ4" s="13" t="s">
        <v>63</v>
      </c>
      <c r="GA4" s="14">
        <v>44284</v>
      </c>
      <c r="GB4" s="13" t="s">
        <v>64</v>
      </c>
      <c r="GC4" s="14">
        <v>44285</v>
      </c>
      <c r="GD4" s="13" t="s">
        <v>65</v>
      </c>
      <c r="GE4" s="14">
        <v>44286</v>
      </c>
      <c r="GF4" s="13" t="s">
        <v>66</v>
      </c>
      <c r="GG4" s="14">
        <v>44287</v>
      </c>
      <c r="GH4" s="13" t="s">
        <v>67</v>
      </c>
      <c r="GI4" s="14">
        <v>44288</v>
      </c>
      <c r="GJ4" s="13" t="s">
        <v>61</v>
      </c>
      <c r="GK4" s="14">
        <v>44289</v>
      </c>
      <c r="GL4" s="13" t="s">
        <v>62</v>
      </c>
      <c r="GM4" s="14">
        <v>44290</v>
      </c>
      <c r="GN4" s="13" t="s">
        <v>63</v>
      </c>
      <c r="GO4" s="14">
        <v>44291</v>
      </c>
      <c r="GP4" s="13" t="s">
        <v>64</v>
      </c>
      <c r="GQ4" s="14">
        <v>44292</v>
      </c>
      <c r="GR4" s="13" t="s">
        <v>65</v>
      </c>
      <c r="GS4" s="14">
        <v>44293</v>
      </c>
      <c r="GT4" s="13" t="s">
        <v>66</v>
      </c>
      <c r="GU4" s="14">
        <v>44294</v>
      </c>
      <c r="GV4" s="13" t="s">
        <v>67</v>
      </c>
      <c r="GW4" s="14">
        <v>44295</v>
      </c>
      <c r="GX4" s="13" t="s">
        <v>61</v>
      </c>
      <c r="GY4" s="14">
        <v>44296</v>
      </c>
      <c r="GZ4" s="13" t="s">
        <v>62</v>
      </c>
      <c r="HA4" s="14">
        <v>44297</v>
      </c>
      <c r="HB4" s="13" t="s">
        <v>63</v>
      </c>
      <c r="HC4" s="14">
        <v>44298</v>
      </c>
      <c r="HD4" s="13" t="s">
        <v>64</v>
      </c>
      <c r="HE4" s="14">
        <v>44299</v>
      </c>
      <c r="HF4" s="13" t="s">
        <v>65</v>
      </c>
      <c r="HG4" s="14">
        <v>44300</v>
      </c>
      <c r="HH4" s="13" t="s">
        <v>66</v>
      </c>
      <c r="HI4" s="14">
        <v>44301</v>
      </c>
      <c r="HJ4" s="13" t="s">
        <v>67</v>
      </c>
      <c r="HK4" s="14">
        <v>44302</v>
      </c>
      <c r="HL4" s="13" t="s">
        <v>61</v>
      </c>
      <c r="HM4" s="14">
        <v>44303</v>
      </c>
      <c r="HN4" s="13" t="s">
        <v>62</v>
      </c>
      <c r="HO4" s="14">
        <v>44304</v>
      </c>
      <c r="HP4" s="13" t="s">
        <v>63</v>
      </c>
      <c r="HQ4" s="14">
        <v>44305</v>
      </c>
      <c r="HR4" s="13" t="s">
        <v>64</v>
      </c>
      <c r="HS4" s="14">
        <v>44306</v>
      </c>
      <c r="HT4" s="13" t="s">
        <v>65</v>
      </c>
      <c r="HU4" s="14">
        <v>44307</v>
      </c>
      <c r="HV4" s="13" t="s">
        <v>66</v>
      </c>
      <c r="HW4" s="14">
        <v>44308</v>
      </c>
      <c r="HX4" s="13" t="s">
        <v>67</v>
      </c>
      <c r="HY4" s="14">
        <v>44309</v>
      </c>
      <c r="HZ4" s="13" t="s">
        <v>61</v>
      </c>
      <c r="IA4" s="14">
        <v>44310</v>
      </c>
      <c r="IB4" s="13" t="s">
        <v>62</v>
      </c>
      <c r="IC4" s="14">
        <v>44311</v>
      </c>
      <c r="ID4" s="13" t="s">
        <v>63</v>
      </c>
      <c r="IE4" s="14">
        <v>44312</v>
      </c>
      <c r="IF4" s="13" t="s">
        <v>64</v>
      </c>
      <c r="IG4" s="14">
        <v>44313</v>
      </c>
      <c r="IH4" s="13" t="s">
        <v>65</v>
      </c>
      <c r="II4" s="14">
        <v>44314</v>
      </c>
      <c r="IJ4" s="13" t="s">
        <v>66</v>
      </c>
      <c r="IK4" s="14">
        <v>44315</v>
      </c>
      <c r="IL4" s="13" t="s">
        <v>67</v>
      </c>
      <c r="IM4" s="14">
        <v>44316</v>
      </c>
      <c r="IN4" s="13" t="s">
        <v>61</v>
      </c>
      <c r="IO4" s="14">
        <v>44317</v>
      </c>
      <c r="IP4" s="13" t="s">
        <v>62</v>
      </c>
      <c r="IQ4" s="14">
        <v>44318</v>
      </c>
      <c r="IR4" s="13" t="s">
        <v>63</v>
      </c>
      <c r="IS4" s="14">
        <v>44319</v>
      </c>
      <c r="IT4" s="13" t="s">
        <v>64</v>
      </c>
      <c r="IU4" s="14">
        <v>44320</v>
      </c>
      <c r="IV4" s="13" t="s">
        <v>65</v>
      </c>
      <c r="IW4" s="14">
        <v>44321</v>
      </c>
      <c r="IX4" s="13" t="s">
        <v>66</v>
      </c>
      <c r="IY4" s="14">
        <v>44322</v>
      </c>
      <c r="IZ4" s="13" t="s">
        <v>67</v>
      </c>
      <c r="JA4" s="14">
        <v>44323</v>
      </c>
      <c r="JB4" s="13" t="s">
        <v>61</v>
      </c>
      <c r="JC4" s="14">
        <v>44324</v>
      </c>
      <c r="JD4" s="13" t="s">
        <v>62</v>
      </c>
      <c r="JE4" s="14">
        <v>44325</v>
      </c>
      <c r="JF4" s="13" t="s">
        <v>63</v>
      </c>
      <c r="JG4" s="14">
        <v>44326</v>
      </c>
      <c r="JH4" s="13" t="s">
        <v>64</v>
      </c>
      <c r="JI4" s="14">
        <v>44327</v>
      </c>
      <c r="JJ4" s="13" t="s">
        <v>65</v>
      </c>
      <c r="JK4" s="14">
        <v>44328</v>
      </c>
      <c r="JL4" s="13" t="s">
        <v>66</v>
      </c>
      <c r="JM4" s="14">
        <v>44329</v>
      </c>
      <c r="JN4" s="13" t="s">
        <v>67</v>
      </c>
      <c r="JO4" s="14">
        <v>44330</v>
      </c>
      <c r="JP4" s="13" t="s">
        <v>61</v>
      </c>
      <c r="JQ4" s="14">
        <v>44331</v>
      </c>
      <c r="JR4" s="13" t="s">
        <v>62</v>
      </c>
      <c r="JS4" s="14">
        <v>44332</v>
      </c>
      <c r="JT4" s="13" t="s">
        <v>63</v>
      </c>
      <c r="JU4" s="14">
        <v>44333</v>
      </c>
      <c r="JV4" s="13" t="s">
        <v>64</v>
      </c>
      <c r="JW4" s="14">
        <v>44334</v>
      </c>
      <c r="JX4" s="13" t="s">
        <v>65</v>
      </c>
      <c r="JY4" s="14">
        <v>44335</v>
      </c>
      <c r="JZ4" s="13" t="s">
        <v>66</v>
      </c>
      <c r="KA4" s="14">
        <v>44336</v>
      </c>
      <c r="KB4" s="13" t="s">
        <v>67</v>
      </c>
      <c r="KC4" s="14">
        <v>44337</v>
      </c>
      <c r="KD4" s="13" t="s">
        <v>61</v>
      </c>
      <c r="KE4" s="14">
        <v>44338</v>
      </c>
      <c r="KF4" s="13" t="s">
        <v>62</v>
      </c>
      <c r="KG4" s="14">
        <v>44339</v>
      </c>
      <c r="KH4" s="13" t="s">
        <v>63</v>
      </c>
      <c r="KI4" s="14">
        <v>44340</v>
      </c>
      <c r="KJ4" s="13" t="s">
        <v>64</v>
      </c>
      <c r="KK4" s="14">
        <v>44341</v>
      </c>
      <c r="KL4" s="13" t="s">
        <v>65</v>
      </c>
      <c r="KM4" s="14">
        <v>44342</v>
      </c>
      <c r="KN4" s="13" t="s">
        <v>66</v>
      </c>
      <c r="KO4" s="14">
        <v>44343</v>
      </c>
      <c r="KP4" s="13" t="s">
        <v>67</v>
      </c>
      <c r="KQ4" s="14">
        <v>44344</v>
      </c>
      <c r="KR4" s="13" t="s">
        <v>61</v>
      </c>
      <c r="KS4" s="14">
        <v>44345</v>
      </c>
      <c r="KT4" s="13" t="s">
        <v>62</v>
      </c>
      <c r="KU4" s="14">
        <v>44346</v>
      </c>
      <c r="KV4" s="13" t="s">
        <v>63</v>
      </c>
      <c r="KW4" s="14">
        <v>44347</v>
      </c>
      <c r="KX4" s="13" t="s">
        <v>64</v>
      </c>
      <c r="KY4" s="14">
        <v>44348</v>
      </c>
      <c r="KZ4" s="13" t="s">
        <v>65</v>
      </c>
      <c r="LA4" s="14">
        <v>44349</v>
      </c>
      <c r="LB4" s="13" t="s">
        <v>66</v>
      </c>
      <c r="LC4" s="14">
        <v>44350</v>
      </c>
      <c r="LD4" s="13" t="s">
        <v>67</v>
      </c>
      <c r="LE4" s="14">
        <v>44351</v>
      </c>
      <c r="LF4" s="13" t="s">
        <v>61</v>
      </c>
      <c r="LG4" s="14">
        <v>44352</v>
      </c>
      <c r="LH4" s="13" t="s">
        <v>62</v>
      </c>
      <c r="LI4" s="14">
        <v>44353</v>
      </c>
      <c r="LJ4" s="13" t="s">
        <v>63</v>
      </c>
      <c r="LK4" s="14">
        <v>44354</v>
      </c>
      <c r="LL4" s="13" t="s">
        <v>64</v>
      </c>
      <c r="LM4" s="14">
        <v>44355</v>
      </c>
      <c r="LN4" s="13" t="s">
        <v>65</v>
      </c>
      <c r="LO4" s="14">
        <v>44356</v>
      </c>
      <c r="LP4" s="13" t="s">
        <v>66</v>
      </c>
      <c r="LQ4" s="14">
        <v>44357</v>
      </c>
      <c r="LR4" s="13" t="s">
        <v>67</v>
      </c>
      <c r="LS4" s="14">
        <v>44358</v>
      </c>
      <c r="LT4" s="13" t="s">
        <v>61</v>
      </c>
      <c r="LU4" s="14">
        <v>44359</v>
      </c>
      <c r="LV4" s="13" t="s">
        <v>62</v>
      </c>
      <c r="LW4" s="14">
        <v>44360</v>
      </c>
      <c r="LX4" s="13" t="s">
        <v>63</v>
      </c>
      <c r="LY4" s="14">
        <v>44361</v>
      </c>
      <c r="LZ4" s="13" t="s">
        <v>64</v>
      </c>
      <c r="MA4" s="14">
        <v>44362</v>
      </c>
      <c r="MB4" s="13" t="s">
        <v>65</v>
      </c>
      <c r="MC4" s="14">
        <v>44363</v>
      </c>
      <c r="MD4" s="13" t="s">
        <v>66</v>
      </c>
      <c r="ME4" s="14">
        <v>44364</v>
      </c>
      <c r="MF4" s="13" t="s">
        <v>67</v>
      </c>
      <c r="MG4" s="14">
        <v>44365</v>
      </c>
      <c r="MH4" s="13" t="s">
        <v>61</v>
      </c>
      <c r="MI4" s="14">
        <v>44366</v>
      </c>
      <c r="MJ4" s="13" t="s">
        <v>62</v>
      </c>
      <c r="MK4" s="14">
        <v>44367</v>
      </c>
      <c r="ML4" s="13" t="s">
        <v>63</v>
      </c>
      <c r="MM4" s="14">
        <v>44368</v>
      </c>
      <c r="MN4" s="13" t="s">
        <v>64</v>
      </c>
      <c r="MO4" s="14">
        <v>44369</v>
      </c>
      <c r="MP4" s="13" t="s">
        <v>65</v>
      </c>
      <c r="MQ4" s="14">
        <v>44370</v>
      </c>
      <c r="MR4" s="13" t="s">
        <v>66</v>
      </c>
      <c r="MS4" s="14">
        <v>44371</v>
      </c>
      <c r="MT4" s="13" t="s">
        <v>67</v>
      </c>
      <c r="MU4" s="14">
        <v>44372</v>
      </c>
      <c r="MV4" s="13" t="s">
        <v>61</v>
      </c>
      <c r="MW4" s="14">
        <v>44373</v>
      </c>
      <c r="MX4" s="13" t="s">
        <v>62</v>
      </c>
      <c r="MY4" s="14">
        <v>44374</v>
      </c>
      <c r="MZ4" s="13" t="s">
        <v>63</v>
      </c>
      <c r="NA4" s="14">
        <v>44375</v>
      </c>
      <c r="NB4" s="13" t="s">
        <v>64</v>
      </c>
      <c r="NC4" s="14">
        <v>44376</v>
      </c>
      <c r="ND4" s="13" t="s">
        <v>65</v>
      </c>
      <c r="NE4" s="14">
        <v>44377</v>
      </c>
      <c r="NF4" s="13" t="s">
        <v>66</v>
      </c>
      <c r="NG4" s="14">
        <v>44378</v>
      </c>
      <c r="NH4" s="13" t="s">
        <v>67</v>
      </c>
      <c r="NI4" s="14">
        <v>44379</v>
      </c>
      <c r="NJ4" s="13" t="s">
        <v>61</v>
      </c>
      <c r="NK4" s="14">
        <v>44380</v>
      </c>
      <c r="NL4" s="13" t="s">
        <v>62</v>
      </c>
      <c r="NM4" s="14">
        <v>44381</v>
      </c>
      <c r="NN4" s="13" t="s">
        <v>63</v>
      </c>
      <c r="NO4" s="14">
        <v>44382</v>
      </c>
      <c r="NP4" s="13" t="s">
        <v>64</v>
      </c>
      <c r="NQ4" s="14">
        <v>44383</v>
      </c>
      <c r="NR4" s="13" t="s">
        <v>65</v>
      </c>
      <c r="NS4" s="14">
        <v>44384</v>
      </c>
      <c r="NT4" s="13" t="s">
        <v>66</v>
      </c>
      <c r="NU4" s="14">
        <v>44385</v>
      </c>
      <c r="NV4" s="13" t="s">
        <v>67</v>
      </c>
      <c r="NW4" s="14">
        <v>44386</v>
      </c>
      <c r="NX4" s="13" t="s">
        <v>61</v>
      </c>
      <c r="NY4" s="14">
        <v>44387</v>
      </c>
      <c r="NZ4" s="13" t="s">
        <v>62</v>
      </c>
      <c r="OA4" s="14">
        <v>44388</v>
      </c>
      <c r="OB4" s="13" t="s">
        <v>63</v>
      </c>
      <c r="OC4" s="14">
        <v>44389</v>
      </c>
      <c r="OD4" s="13" t="s">
        <v>64</v>
      </c>
      <c r="OE4" s="14">
        <v>44390</v>
      </c>
      <c r="OF4" s="13" t="s">
        <v>65</v>
      </c>
      <c r="OG4" s="14">
        <v>44391</v>
      </c>
      <c r="OH4" s="13" t="s">
        <v>66</v>
      </c>
      <c r="OI4" s="14">
        <v>44392</v>
      </c>
      <c r="OJ4" s="13" t="s">
        <v>67</v>
      </c>
      <c r="OK4" s="14">
        <v>44393</v>
      </c>
      <c r="OL4" s="13" t="s">
        <v>61</v>
      </c>
      <c r="OM4" s="14">
        <v>44394</v>
      </c>
      <c r="ON4" s="13" t="s">
        <v>62</v>
      </c>
      <c r="OO4" s="14">
        <v>44395</v>
      </c>
      <c r="OP4" s="13" t="s">
        <v>63</v>
      </c>
      <c r="OQ4" s="14">
        <v>44396</v>
      </c>
      <c r="OR4" s="13" t="s">
        <v>64</v>
      </c>
      <c r="OS4" s="14">
        <v>44397</v>
      </c>
      <c r="OT4" s="13" t="s">
        <v>65</v>
      </c>
      <c r="OU4" s="14">
        <v>44398</v>
      </c>
      <c r="OV4" s="13" t="s">
        <v>66</v>
      </c>
      <c r="OW4" s="14">
        <v>44399</v>
      </c>
      <c r="OX4" s="13" t="s">
        <v>67</v>
      </c>
      <c r="OY4" s="14">
        <v>44400</v>
      </c>
      <c r="OZ4" s="13" t="s">
        <v>61</v>
      </c>
      <c r="PA4" s="14">
        <v>44401</v>
      </c>
      <c r="PB4" s="13" t="s">
        <v>62</v>
      </c>
      <c r="PC4" s="14">
        <v>44402</v>
      </c>
      <c r="PD4" s="13" t="s">
        <v>63</v>
      </c>
      <c r="PE4" s="14">
        <v>44403</v>
      </c>
      <c r="PF4" s="13" t="s">
        <v>64</v>
      </c>
      <c r="PG4" s="14">
        <v>44404</v>
      </c>
      <c r="PH4" s="13" t="s">
        <v>65</v>
      </c>
      <c r="PI4" s="14">
        <v>44405</v>
      </c>
      <c r="PJ4" s="13" t="s">
        <v>66</v>
      </c>
      <c r="PK4" s="14">
        <v>44406</v>
      </c>
      <c r="PL4" s="13" t="s">
        <v>67</v>
      </c>
      <c r="PM4" s="14">
        <v>44407</v>
      </c>
      <c r="PN4" s="13" t="s">
        <v>61</v>
      </c>
      <c r="PO4" s="14">
        <v>44408</v>
      </c>
      <c r="PP4" s="13" t="s">
        <v>62</v>
      </c>
      <c r="PQ4" s="14">
        <v>44409</v>
      </c>
      <c r="PR4" s="13" t="s">
        <v>63</v>
      </c>
      <c r="PS4" s="14">
        <v>44410</v>
      </c>
      <c r="PT4" s="13" t="s">
        <v>64</v>
      </c>
      <c r="PU4" s="14">
        <v>44411</v>
      </c>
      <c r="PV4" s="13" t="s">
        <v>65</v>
      </c>
      <c r="PW4" s="14">
        <v>44412</v>
      </c>
      <c r="PX4" s="13" t="s">
        <v>66</v>
      </c>
      <c r="PY4" s="14">
        <v>44413</v>
      </c>
      <c r="PZ4" s="13" t="s">
        <v>67</v>
      </c>
      <c r="QA4" s="14">
        <v>44414</v>
      </c>
      <c r="QB4" s="13" t="s">
        <v>61</v>
      </c>
      <c r="QC4" s="14">
        <v>44415</v>
      </c>
      <c r="QD4" s="13" t="s">
        <v>62</v>
      </c>
      <c r="QE4" s="14">
        <v>44416</v>
      </c>
      <c r="QF4" s="13" t="s">
        <v>63</v>
      </c>
      <c r="QG4" s="14">
        <v>44417</v>
      </c>
      <c r="QH4" s="13" t="s">
        <v>64</v>
      </c>
      <c r="QI4" s="14">
        <v>44418</v>
      </c>
      <c r="QJ4" s="13" t="s">
        <v>65</v>
      </c>
      <c r="QK4" s="14">
        <v>44419</v>
      </c>
      <c r="QL4" s="13" t="s">
        <v>66</v>
      </c>
      <c r="QM4" s="14">
        <v>44420</v>
      </c>
      <c r="QN4" s="13" t="s">
        <v>67</v>
      </c>
      <c r="QO4" s="14">
        <v>44421</v>
      </c>
      <c r="QP4" s="13" t="s">
        <v>61</v>
      </c>
      <c r="QQ4" s="14">
        <v>44422</v>
      </c>
      <c r="QR4" s="13" t="s">
        <v>62</v>
      </c>
      <c r="QS4" s="14">
        <v>44423</v>
      </c>
      <c r="QT4" s="13" t="s">
        <v>63</v>
      </c>
      <c r="QU4" s="14">
        <v>44424</v>
      </c>
      <c r="QV4" s="13" t="s">
        <v>64</v>
      </c>
      <c r="QW4" s="14">
        <v>44425</v>
      </c>
      <c r="QX4" s="13" t="s">
        <v>65</v>
      </c>
      <c r="QY4" s="14">
        <v>44426</v>
      </c>
      <c r="QZ4" s="13" t="s">
        <v>66</v>
      </c>
      <c r="RA4" s="14">
        <v>44427</v>
      </c>
      <c r="RB4" s="13" t="s">
        <v>67</v>
      </c>
      <c r="RC4" s="14">
        <v>44428</v>
      </c>
      <c r="RD4" s="13" t="s">
        <v>61</v>
      </c>
      <c r="RE4" s="14">
        <v>44429</v>
      </c>
      <c r="RF4" s="13" t="s">
        <v>62</v>
      </c>
      <c r="RG4" s="14">
        <v>44430</v>
      </c>
      <c r="RH4" s="13" t="s">
        <v>63</v>
      </c>
      <c r="RI4" s="14">
        <v>44431</v>
      </c>
      <c r="RJ4" s="13" t="s">
        <v>64</v>
      </c>
      <c r="RK4" s="14">
        <v>44432</v>
      </c>
      <c r="RL4" s="13" t="s">
        <v>65</v>
      </c>
      <c r="RM4" s="14">
        <v>44433</v>
      </c>
      <c r="RN4" s="13" t="s">
        <v>66</v>
      </c>
      <c r="RO4" s="14">
        <v>44434</v>
      </c>
      <c r="RP4" s="13" t="s">
        <v>67</v>
      </c>
      <c r="RQ4" s="14">
        <v>44435</v>
      </c>
      <c r="RR4" s="13" t="s">
        <v>61</v>
      </c>
      <c r="RS4" s="14">
        <v>44436</v>
      </c>
      <c r="RT4" s="13" t="s">
        <v>62</v>
      </c>
      <c r="RU4" s="14">
        <v>44437</v>
      </c>
      <c r="RV4" s="13" t="s">
        <v>63</v>
      </c>
      <c r="RW4" s="14">
        <v>44438</v>
      </c>
      <c r="RX4" s="13" t="s">
        <v>64</v>
      </c>
      <c r="RY4" s="14">
        <v>44439</v>
      </c>
      <c r="RZ4" s="13" t="s">
        <v>65</v>
      </c>
      <c r="SA4" s="14">
        <v>44440</v>
      </c>
      <c r="SB4" s="13" t="s">
        <v>66</v>
      </c>
      <c r="SC4" s="14">
        <v>44441</v>
      </c>
      <c r="SD4" s="13" t="s">
        <v>67</v>
      </c>
      <c r="SE4" s="14">
        <v>44442</v>
      </c>
      <c r="SF4" s="13" t="s">
        <v>61</v>
      </c>
      <c r="SG4" s="14">
        <v>44443</v>
      </c>
      <c r="SH4" s="13" t="s">
        <v>62</v>
      </c>
      <c r="SI4" s="14">
        <v>44444</v>
      </c>
      <c r="SJ4" s="13" t="s">
        <v>63</v>
      </c>
      <c r="SK4" s="14">
        <v>44445</v>
      </c>
      <c r="SL4" s="13" t="s">
        <v>64</v>
      </c>
      <c r="SM4" s="14">
        <v>44446</v>
      </c>
      <c r="SN4" s="13" t="s">
        <v>65</v>
      </c>
      <c r="SO4" s="14">
        <v>44447</v>
      </c>
      <c r="SP4" s="13" t="s">
        <v>66</v>
      </c>
      <c r="SQ4" s="14">
        <v>44448</v>
      </c>
      <c r="SR4" s="13" t="s">
        <v>67</v>
      </c>
      <c r="SS4" s="14">
        <v>44449</v>
      </c>
      <c r="ST4" s="13" t="s">
        <v>61</v>
      </c>
      <c r="SU4" s="14">
        <v>44450</v>
      </c>
      <c r="SV4" s="13" t="s">
        <v>62</v>
      </c>
      <c r="SW4" s="14">
        <v>44451</v>
      </c>
      <c r="SX4" s="13" t="s">
        <v>63</v>
      </c>
      <c r="SY4" s="14">
        <v>44452</v>
      </c>
      <c r="SZ4" s="13" t="s">
        <v>64</v>
      </c>
      <c r="TA4" s="14">
        <v>44453</v>
      </c>
      <c r="TB4" s="13" t="s">
        <v>65</v>
      </c>
      <c r="TC4" s="14">
        <v>44454</v>
      </c>
      <c r="TD4" s="13" t="s">
        <v>66</v>
      </c>
      <c r="TE4" s="14">
        <v>44455</v>
      </c>
      <c r="TF4" s="13" t="s">
        <v>67</v>
      </c>
      <c r="TG4" s="14">
        <v>44456</v>
      </c>
      <c r="TH4" s="13" t="s">
        <v>61</v>
      </c>
      <c r="TI4" s="14">
        <v>44457</v>
      </c>
      <c r="TJ4" s="13" t="s">
        <v>62</v>
      </c>
      <c r="TK4" s="14">
        <v>44458</v>
      </c>
      <c r="TL4" s="13" t="s">
        <v>63</v>
      </c>
      <c r="TM4" s="14">
        <v>44459</v>
      </c>
      <c r="TN4" s="13" t="s">
        <v>64</v>
      </c>
      <c r="TO4" s="14">
        <v>44460</v>
      </c>
      <c r="TP4" s="13" t="s">
        <v>65</v>
      </c>
      <c r="TQ4" s="14">
        <v>44461</v>
      </c>
      <c r="TR4" s="13" t="s">
        <v>66</v>
      </c>
      <c r="TS4" s="14">
        <v>44462</v>
      </c>
      <c r="TT4" s="13" t="s">
        <v>67</v>
      </c>
      <c r="TU4" s="14">
        <v>44463</v>
      </c>
      <c r="TV4" s="13" t="s">
        <v>61</v>
      </c>
      <c r="TW4" s="14">
        <v>44464</v>
      </c>
      <c r="TX4" s="13" t="s">
        <v>62</v>
      </c>
      <c r="TY4" s="14">
        <v>44465</v>
      </c>
      <c r="TZ4" s="13" t="s">
        <v>63</v>
      </c>
      <c r="UA4" s="14">
        <v>44466</v>
      </c>
      <c r="UB4" s="13" t="s">
        <v>64</v>
      </c>
      <c r="UC4" s="14">
        <v>44467</v>
      </c>
      <c r="UD4" s="13" t="s">
        <v>65</v>
      </c>
      <c r="UE4" s="14">
        <v>44468</v>
      </c>
      <c r="UF4" s="13" t="s">
        <v>66</v>
      </c>
      <c r="UG4" s="14">
        <v>44469</v>
      </c>
      <c r="UH4" s="13" t="s">
        <v>67</v>
      </c>
      <c r="UI4" s="14">
        <v>44470</v>
      </c>
      <c r="UJ4" s="13" t="s">
        <v>61</v>
      </c>
      <c r="UK4" s="14">
        <v>44471</v>
      </c>
      <c r="UL4" s="13" t="s">
        <v>62</v>
      </c>
      <c r="UM4" s="14">
        <v>44472</v>
      </c>
      <c r="UN4" s="13" t="s">
        <v>63</v>
      </c>
      <c r="UO4" s="14">
        <v>44473</v>
      </c>
      <c r="UP4" s="13" t="s">
        <v>64</v>
      </c>
      <c r="UQ4" s="14">
        <v>44474</v>
      </c>
      <c r="UR4" s="13" t="s">
        <v>65</v>
      </c>
      <c r="US4" s="14">
        <v>44475</v>
      </c>
      <c r="UT4" s="13" t="s">
        <v>66</v>
      </c>
      <c r="UU4" s="14">
        <v>44476</v>
      </c>
      <c r="UV4" s="13" t="s">
        <v>67</v>
      </c>
      <c r="UW4" s="14">
        <v>44477</v>
      </c>
      <c r="UX4" s="13" t="s">
        <v>61</v>
      </c>
      <c r="UY4" s="14">
        <v>44478</v>
      </c>
      <c r="UZ4" s="13" t="s">
        <v>62</v>
      </c>
      <c r="VA4" s="14">
        <v>44479</v>
      </c>
      <c r="VB4" s="13" t="s">
        <v>63</v>
      </c>
      <c r="VC4" s="14">
        <v>44480</v>
      </c>
      <c r="VD4" s="13" t="s">
        <v>64</v>
      </c>
      <c r="VE4" s="14">
        <v>44481</v>
      </c>
      <c r="VF4" s="13" t="s">
        <v>65</v>
      </c>
      <c r="VG4" s="14">
        <v>44482</v>
      </c>
      <c r="VH4" s="13" t="s">
        <v>66</v>
      </c>
      <c r="VI4" s="14">
        <v>44483</v>
      </c>
      <c r="VJ4" s="13" t="s">
        <v>67</v>
      </c>
      <c r="VK4" s="14">
        <v>44484</v>
      </c>
      <c r="VL4" s="13" t="s">
        <v>61</v>
      </c>
      <c r="VM4" s="14">
        <v>44485</v>
      </c>
      <c r="VN4" s="13" t="s">
        <v>62</v>
      </c>
      <c r="VO4" s="14">
        <v>44486</v>
      </c>
      <c r="VP4" s="13" t="s">
        <v>63</v>
      </c>
      <c r="VQ4" s="14">
        <v>44487</v>
      </c>
      <c r="VR4" s="13" t="s">
        <v>64</v>
      </c>
      <c r="VS4" s="14">
        <v>44488</v>
      </c>
      <c r="VT4" s="13" t="s">
        <v>65</v>
      </c>
      <c r="VU4" s="14">
        <v>44489</v>
      </c>
      <c r="VV4" s="13" t="s">
        <v>66</v>
      </c>
      <c r="VW4" s="14">
        <v>44490</v>
      </c>
      <c r="VX4" s="13" t="s">
        <v>67</v>
      </c>
      <c r="VY4" s="14">
        <v>44491</v>
      </c>
      <c r="VZ4" s="13" t="s">
        <v>61</v>
      </c>
      <c r="WA4" s="14">
        <v>44492</v>
      </c>
      <c r="WB4" s="13" t="s">
        <v>62</v>
      </c>
      <c r="WC4" s="14">
        <v>44493</v>
      </c>
      <c r="WD4" s="13" t="s">
        <v>63</v>
      </c>
      <c r="WE4" s="14">
        <v>44494</v>
      </c>
      <c r="WF4" s="13" t="s">
        <v>64</v>
      </c>
      <c r="WG4" s="14">
        <v>44495</v>
      </c>
      <c r="WH4" s="13" t="s">
        <v>65</v>
      </c>
      <c r="WI4" s="14">
        <v>44496</v>
      </c>
      <c r="WJ4" s="13" t="s">
        <v>66</v>
      </c>
      <c r="WK4" s="14">
        <v>44497</v>
      </c>
      <c r="WL4" s="13" t="s">
        <v>67</v>
      </c>
      <c r="WM4" s="14">
        <v>44498</v>
      </c>
      <c r="WN4" s="13" t="s">
        <v>61</v>
      </c>
      <c r="WO4" s="14">
        <v>44499</v>
      </c>
      <c r="WP4" s="13" t="s">
        <v>62</v>
      </c>
      <c r="WQ4" s="14">
        <v>44500</v>
      </c>
      <c r="WR4" s="13" t="s">
        <v>63</v>
      </c>
      <c r="WS4" s="14">
        <v>44501</v>
      </c>
      <c r="WT4" s="13" t="s">
        <v>64</v>
      </c>
      <c r="WU4" s="14">
        <v>44502</v>
      </c>
      <c r="WV4" s="13" t="s">
        <v>65</v>
      </c>
      <c r="WW4" s="14">
        <v>44503</v>
      </c>
      <c r="WX4" s="13" t="s">
        <v>66</v>
      </c>
      <c r="WY4" s="14">
        <v>44504</v>
      </c>
      <c r="WZ4" s="13" t="s">
        <v>67</v>
      </c>
      <c r="XA4" s="14">
        <v>44505</v>
      </c>
      <c r="XB4" s="13" t="s">
        <v>61</v>
      </c>
      <c r="XC4" s="14">
        <v>44506</v>
      </c>
      <c r="XD4" s="13" t="s">
        <v>62</v>
      </c>
      <c r="XE4" s="14">
        <v>44507</v>
      </c>
      <c r="XF4" s="13" t="s">
        <v>63</v>
      </c>
      <c r="XG4" s="14">
        <v>44508</v>
      </c>
      <c r="XH4" s="13" t="s">
        <v>64</v>
      </c>
      <c r="XI4" s="14">
        <v>44509</v>
      </c>
      <c r="XJ4" s="13" t="s">
        <v>65</v>
      </c>
      <c r="XK4" s="14">
        <v>44510</v>
      </c>
      <c r="XL4" s="13" t="s">
        <v>66</v>
      </c>
      <c r="XM4" s="14">
        <v>44511</v>
      </c>
      <c r="XN4" s="13" t="s">
        <v>67</v>
      </c>
      <c r="XO4" s="14">
        <v>44512</v>
      </c>
      <c r="XP4" s="13" t="s">
        <v>61</v>
      </c>
      <c r="XQ4" s="14">
        <v>44513</v>
      </c>
      <c r="XR4" s="13" t="s">
        <v>62</v>
      </c>
      <c r="XS4" s="14">
        <v>44514</v>
      </c>
      <c r="XT4" s="13" t="s">
        <v>63</v>
      </c>
      <c r="XU4" s="14">
        <v>44515</v>
      </c>
      <c r="XV4" s="13" t="s">
        <v>64</v>
      </c>
      <c r="XW4" s="14">
        <v>44516</v>
      </c>
      <c r="XX4" s="13" t="s">
        <v>65</v>
      </c>
      <c r="XY4" s="14">
        <v>44517</v>
      </c>
      <c r="XZ4" s="13" t="s">
        <v>66</v>
      </c>
      <c r="YA4" s="14">
        <v>44518</v>
      </c>
      <c r="YB4" s="13" t="s">
        <v>67</v>
      </c>
      <c r="YC4" s="14">
        <v>44519</v>
      </c>
      <c r="YD4" s="13" t="s">
        <v>61</v>
      </c>
      <c r="YE4" s="14">
        <v>44520</v>
      </c>
      <c r="YF4" s="13" t="s">
        <v>62</v>
      </c>
      <c r="YG4" s="14">
        <v>44521</v>
      </c>
      <c r="YH4" s="13" t="s">
        <v>63</v>
      </c>
      <c r="YI4" s="14">
        <v>44522</v>
      </c>
      <c r="YJ4" s="13" t="s">
        <v>64</v>
      </c>
      <c r="YK4" s="14">
        <v>44523</v>
      </c>
      <c r="YL4" s="13" t="s">
        <v>65</v>
      </c>
      <c r="YM4" s="14">
        <v>44524</v>
      </c>
      <c r="YN4" s="13" t="s">
        <v>66</v>
      </c>
      <c r="YO4" s="14">
        <v>44525</v>
      </c>
      <c r="YP4" s="13" t="s">
        <v>67</v>
      </c>
      <c r="YQ4" s="14">
        <v>44526</v>
      </c>
      <c r="YR4" s="13" t="s">
        <v>61</v>
      </c>
      <c r="YS4" s="14">
        <v>44527</v>
      </c>
      <c r="YT4" s="13" t="s">
        <v>62</v>
      </c>
      <c r="YU4" s="14">
        <v>44528</v>
      </c>
      <c r="YV4" s="13" t="s">
        <v>63</v>
      </c>
      <c r="YW4" s="14">
        <v>44529</v>
      </c>
      <c r="YX4" s="13" t="s">
        <v>64</v>
      </c>
      <c r="YY4" s="14">
        <v>44530</v>
      </c>
      <c r="YZ4" s="13" t="s">
        <v>65</v>
      </c>
      <c r="ZA4" s="14">
        <v>44531</v>
      </c>
      <c r="ZB4" s="13" t="s">
        <v>66</v>
      </c>
      <c r="ZC4" s="14">
        <v>44532</v>
      </c>
      <c r="ZD4" s="13" t="s">
        <v>67</v>
      </c>
      <c r="ZE4" s="14">
        <v>44533</v>
      </c>
      <c r="ZF4" s="13" t="s">
        <v>61</v>
      </c>
      <c r="ZG4" s="14">
        <v>44534</v>
      </c>
      <c r="ZH4" s="13" t="s">
        <v>62</v>
      </c>
      <c r="ZI4" s="14">
        <v>44535</v>
      </c>
      <c r="ZJ4" s="13" t="s">
        <v>63</v>
      </c>
      <c r="ZK4" s="14">
        <v>44536</v>
      </c>
      <c r="ZL4" s="13" t="s">
        <v>64</v>
      </c>
      <c r="ZM4" s="14">
        <v>44537</v>
      </c>
      <c r="ZN4" s="13" t="s">
        <v>65</v>
      </c>
      <c r="ZO4" s="14">
        <v>44538</v>
      </c>
      <c r="ZP4" s="13" t="s">
        <v>66</v>
      </c>
      <c r="ZQ4" s="14">
        <v>44539</v>
      </c>
      <c r="ZR4" s="13" t="s">
        <v>67</v>
      </c>
      <c r="ZS4" s="14">
        <v>44540</v>
      </c>
      <c r="ZT4" s="13" t="s">
        <v>61</v>
      </c>
      <c r="ZU4" s="14">
        <v>44541</v>
      </c>
      <c r="ZV4" s="13" t="s">
        <v>62</v>
      </c>
      <c r="ZW4" s="14">
        <v>44542</v>
      </c>
      <c r="ZX4" s="13" t="s">
        <v>63</v>
      </c>
      <c r="ZY4" s="14">
        <v>44543</v>
      </c>
      <c r="ZZ4" s="13" t="s">
        <v>64</v>
      </c>
      <c r="AAA4" s="14">
        <v>44544</v>
      </c>
      <c r="AAB4" s="13" t="s">
        <v>65</v>
      </c>
      <c r="AAC4" s="14">
        <v>44545</v>
      </c>
      <c r="AAD4" s="13" t="s">
        <v>66</v>
      </c>
      <c r="AAE4" s="14">
        <v>44546</v>
      </c>
      <c r="AAF4" s="13" t="s">
        <v>67</v>
      </c>
      <c r="AAG4" s="14">
        <v>44547</v>
      </c>
      <c r="AAH4" s="13" t="s">
        <v>61</v>
      </c>
      <c r="AAI4" s="14">
        <v>44548</v>
      </c>
      <c r="AAJ4" s="13" t="s">
        <v>62</v>
      </c>
      <c r="AAK4" s="14">
        <v>44549</v>
      </c>
      <c r="AAL4" s="13" t="s">
        <v>63</v>
      </c>
      <c r="AAM4" s="14">
        <v>44550</v>
      </c>
      <c r="AAN4" s="13" t="s">
        <v>64</v>
      </c>
      <c r="AAO4" s="14">
        <v>44551</v>
      </c>
      <c r="AAP4" s="13" t="s">
        <v>65</v>
      </c>
      <c r="AAQ4" s="14">
        <v>44552</v>
      </c>
      <c r="AAR4" s="13" t="s">
        <v>66</v>
      </c>
      <c r="AAS4" s="14">
        <v>44553</v>
      </c>
      <c r="AAT4" s="13" t="s">
        <v>67</v>
      </c>
      <c r="AAU4" s="14">
        <v>44554</v>
      </c>
      <c r="AAV4" s="13" t="s">
        <v>61</v>
      </c>
      <c r="AAW4" s="14">
        <v>44555</v>
      </c>
      <c r="AAX4" s="13" t="s">
        <v>62</v>
      </c>
      <c r="AAY4" s="14">
        <v>44556</v>
      </c>
      <c r="AAZ4" s="13" t="s">
        <v>63</v>
      </c>
      <c r="ABA4" s="14">
        <v>44557</v>
      </c>
      <c r="ABB4" s="13" t="s">
        <v>64</v>
      </c>
      <c r="ABC4" s="14">
        <v>44558</v>
      </c>
      <c r="ABD4" s="13" t="s">
        <v>65</v>
      </c>
      <c r="ABE4" s="14">
        <v>44559</v>
      </c>
      <c r="ABF4" s="13" t="s">
        <v>66</v>
      </c>
      <c r="ABG4" s="14">
        <v>44560</v>
      </c>
      <c r="ABH4" s="13" t="s">
        <v>67</v>
      </c>
      <c r="ABI4" s="14">
        <v>44561</v>
      </c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</row>
    <row r="5" spans="1:752" x14ac:dyDescent="0.3">
      <c r="A5" s="35"/>
      <c r="B5" s="36"/>
      <c r="C5" s="36"/>
      <c r="D5" s="37"/>
      <c r="E5" s="10"/>
      <c r="F5" s="47"/>
      <c r="G5" s="48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</row>
    <row r="6" spans="1:752" x14ac:dyDescent="0.3">
      <c r="A6" s="35"/>
      <c r="B6" s="36"/>
      <c r="C6" s="36"/>
      <c r="D6" s="37"/>
      <c r="E6" s="10"/>
      <c r="F6" s="47"/>
      <c r="G6" s="48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</row>
    <row r="7" spans="1:752" x14ac:dyDescent="0.3">
      <c r="A7" s="35"/>
      <c r="B7" s="36"/>
      <c r="C7" s="36"/>
      <c r="D7" s="37"/>
      <c r="E7" s="10"/>
      <c r="F7" s="47"/>
      <c r="G7" s="48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</row>
    <row r="8" spans="1:752" x14ac:dyDescent="0.3">
      <c r="A8" s="35"/>
      <c r="B8" s="36"/>
      <c r="C8" s="36"/>
      <c r="D8" s="37"/>
      <c r="E8" s="10"/>
      <c r="F8" s="47"/>
      <c r="G8" s="4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</row>
    <row r="9" spans="1:752" x14ac:dyDescent="0.3">
      <c r="A9" s="35"/>
      <c r="B9" s="36"/>
      <c r="C9" s="36"/>
      <c r="D9" s="37"/>
      <c r="E9" s="10"/>
      <c r="F9" s="47"/>
      <c r="G9" s="4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</row>
    <row r="10" spans="1:752" x14ac:dyDescent="0.3">
      <c r="A10" s="35"/>
      <c r="B10" s="36"/>
      <c r="C10" s="36"/>
      <c r="D10" s="37"/>
      <c r="E10" s="10"/>
      <c r="F10" s="47"/>
      <c r="G10" s="48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</row>
  </sheetData>
  <mergeCells count="16">
    <mergeCell ref="F10:G10"/>
    <mergeCell ref="F9:G9"/>
    <mergeCell ref="F8:G8"/>
    <mergeCell ref="F7:G7"/>
    <mergeCell ref="F6:G6"/>
    <mergeCell ref="A5:D5"/>
    <mergeCell ref="A1:A3"/>
    <mergeCell ref="B1:B3"/>
    <mergeCell ref="A4:D4"/>
    <mergeCell ref="E4:G4"/>
    <mergeCell ref="F5:G5"/>
    <mergeCell ref="A10:D10"/>
    <mergeCell ref="A9:D9"/>
    <mergeCell ref="A8:D8"/>
    <mergeCell ref="A7:D7"/>
    <mergeCell ref="A6:D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INFO</vt:lpstr>
      <vt:lpstr>B_YEAR</vt:lpstr>
      <vt:lpstr>B_CALENDAR</vt:lpstr>
      <vt:lpstr>B_MEMBER</vt:lpstr>
      <vt:lpstr>B_HIERARCHY</vt:lpstr>
      <vt:lpstr>안기태</vt:lpstr>
      <vt:lpstr>안호재</vt:lpstr>
      <vt:lpstr>엄이삭</vt:lpstr>
      <vt:lpstr>빈준형</vt:lpstr>
      <vt:lpstr>달력</vt:lpstr>
      <vt:lpstr>멤버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JUNHYEONG BEEN</dc:creator>
  <cp:lastModifiedBy>JUNHYEONG BEEN</cp:lastModifiedBy>
  <dcterms:created xsi:type="dcterms:W3CDTF">2021-07-17T07:18:57Z</dcterms:created>
  <dcterms:modified xsi:type="dcterms:W3CDTF">2021-07-19T21:25:21Z</dcterms:modified>
</cp:coreProperties>
</file>